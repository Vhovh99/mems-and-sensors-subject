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apture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A1F24"/>
      </patternFill>
    </fill>
    <fill>
      <patternFill patternType="solid">
        <fgColor rgb="00FAECD8"/>
      </patternFill>
    </fill>
    <fill>
      <patternFill patternType="solid">
        <fgColor rgb="00DCED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MEMS &amp; Sensors — Laboratory 2 spreadsheet template</t>
        </is>
      </c>
    </row>
    <row r="2">
      <c r="A2" t="inlineStr"/>
    </row>
    <row r="3">
      <c r="A3" t="inlineStr">
        <is>
          <t>This does the arithmetic the handout asks for. You still have to take the data,</t>
        </is>
      </c>
    </row>
    <row r="4">
      <c r="A4" t="inlineStr">
        <is>
          <t>read the sensitivity off the datasheet, and interpret the result — those are the</t>
        </is>
      </c>
    </row>
    <row r="5">
      <c r="A5" t="inlineStr">
        <is>
          <t>assessed parts. This sheet only saves you from retyping formulas.</t>
        </is>
      </c>
    </row>
    <row r="6">
      <c r="A6" t="inlineStr"/>
    </row>
    <row r="7">
      <c r="A7" s="1" t="inlineStr">
        <is>
          <t>HOW TO USE IT</t>
        </is>
      </c>
    </row>
    <row r="8">
      <c r="A8" t="inlineStr">
        <is>
          <t>1. Capture with the console, logging the terminal to a .csv file.</t>
        </is>
      </c>
    </row>
    <row r="9">
      <c r="A9" t="inlineStr">
        <is>
          <t>2. Open the .csv and delete everything above the line starting  n,t_ms,raw_x...</t>
        </is>
      </c>
    </row>
    <row r="10">
      <c r="A10" t="inlineStr">
        <is>
          <t>3. Copy the five data columns into the 'capture' sheet, starting at A2.</t>
        </is>
      </c>
    </row>
    <row r="11">
      <c r="A11" t="inlineStr">
        <is>
          <t>4. Fill in the yellow configuration cells on 'capture' (M2:N6).</t>
        </is>
      </c>
    </row>
    <row r="12">
      <c r="A12" t="inlineStr">
        <is>
          <t>5. Read the answers off 'results'. Copy them into your pre-lab tables.</t>
        </is>
      </c>
    </row>
    <row r="13">
      <c r="A13" t="inlineStr">
        <is>
          <t>6. Use a FRESH COPY of this file for every capture you take.</t>
        </is>
      </c>
    </row>
    <row r="14">
      <c r="A14" t="inlineStr"/>
    </row>
    <row r="15">
      <c r="A15" s="1" t="inlineStr">
        <is>
          <t>THE TWO TRAPS</t>
        </is>
      </c>
    </row>
    <row r="16">
      <c r="A16" t="inlineStr">
        <is>
          <t>· Population standard deviation, not sample. You have the whole capture. This</t>
        </is>
      </c>
    </row>
    <row r="17">
      <c r="A17" t="inlineStr">
        <is>
          <t xml:space="preserve">  sheet uses STDEVP; with 2000 points the difference is 0.03 % either way, but</t>
        </is>
      </c>
    </row>
    <row r="18">
      <c r="A18" t="inlineStr">
        <is>
          <t xml:space="preserve">  say in your report which you used.</t>
        </is>
      </c>
    </row>
    <row r="19">
      <c r="A19" t="inlineStr">
        <is>
          <t>· A code IS an LSB. Sigma in codes is already sigma in LSB — multiply by the</t>
        </is>
      </c>
    </row>
    <row r="20">
      <c r="A20" t="inlineStr">
        <is>
          <t xml:space="preserve">  sensitivity ONCE to get milli-g. Teams multiply twice every year and get an</t>
        </is>
      </c>
    </row>
    <row r="21">
      <c r="A21" t="inlineStr">
        <is>
          <t xml:space="preserve">  answer finer than one code, which is impossible. If your sigma is below</t>
        </is>
      </c>
    </row>
    <row r="22">
      <c r="A22" t="inlineStr">
        <is>
          <t xml:space="preserve">  0.061 mg at +/-2 g, that is what you have done.</t>
        </is>
      </c>
    </row>
    <row r="23">
      <c r="A23" t="inlineStr"/>
    </row>
    <row r="24">
      <c r="A24" s="1" t="inlineStr">
        <is>
          <t>WHAT THIS SHEET DELIBERATELY DOES NOT DO</t>
        </is>
      </c>
    </row>
    <row r="25">
      <c r="A25" t="inlineStr">
        <is>
          <t>It does not plot anything. The four plots are yours to make and to caption, and</t>
        </is>
      </c>
    </row>
    <row r="26">
      <c r="A26" t="inlineStr">
        <is>
          <t>a caption that does not say what is plotted and at what configuration scores</t>
        </is>
      </c>
    </row>
    <row r="27">
      <c r="A27" t="inlineStr">
        <is>
          <t>nothing. It also does not choose your ODR or your filter — that is the paragraph</t>
        </is>
      </c>
    </row>
    <row r="28">
      <c r="A28" t="inlineStr">
        <is>
          <t>the whole laboratory exists to make you write.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3" customWidth="1" min="6" max="6"/>
    <col width="10" customWidth="1" min="7" max="7"/>
    <col width="10" customWidth="1" min="8" max="8"/>
    <col width="10" customWidth="1" min="9" max="9"/>
    <col width="11" customWidth="1" min="10" max="10"/>
    <col width="9" customWidth="1" min="11" max="11"/>
    <col width="34" customWidth="1" min="13" max="13"/>
    <col width="10" customWidth="1" min="14" max="14"/>
  </cols>
  <sheetData>
    <row r="1">
      <c r="A1" s="2" t="inlineStr">
        <is>
          <t>n</t>
        </is>
      </c>
      <c r="B1" s="2" t="inlineStr">
        <is>
          <t>t_ms</t>
        </is>
      </c>
      <c r="C1" s="2" t="inlineStr">
        <is>
          <t>raw_x</t>
        </is>
      </c>
      <c r="D1" s="2" t="inlineStr">
        <is>
          <t>raw_y</t>
        </is>
      </c>
      <c r="E1" s="2" t="inlineStr">
        <is>
          <t>raw_z</t>
        </is>
      </c>
      <c r="F1" t="inlineStr"/>
      <c r="G1" s="2" t="inlineStr">
        <is>
          <t>x (mg)</t>
        </is>
      </c>
      <c r="H1" s="2" t="inlineStr">
        <is>
          <t>MA N=4</t>
        </is>
      </c>
      <c r="I1" s="2" t="inlineStr">
        <is>
          <t>MA N=16</t>
        </is>
      </c>
      <c r="J1" s="2" t="inlineStr">
        <is>
          <t>LP alpha</t>
        </is>
      </c>
      <c r="K1" s="2" t="inlineStr">
        <is>
          <t>dt (ms)</t>
        </is>
      </c>
      <c r="M1" s="1" t="inlineStr">
        <is>
          <t>YOUR CONFIGURATION — fill these in</t>
        </is>
      </c>
    </row>
    <row r="2">
      <c r="G2">
        <f>IF(C2="","",C2*$N$5)</f>
        <v/>
      </c>
      <c r="J2">
        <f>IF(C2="","",C2*$N$5)</f>
        <v/>
      </c>
      <c r="M2" t="inlineStr">
        <is>
          <t>CTRL1_XL (from the # line)</t>
        </is>
      </c>
      <c r="N2" s="3" t="inlineStr">
        <is>
          <t>0x40</t>
        </is>
      </c>
    </row>
    <row r="3">
      <c r="G3">
        <f>IF(C3="","",C3*$N$5)</f>
        <v/>
      </c>
      <c r="J3">
        <f>IF(C3="","",J2+$N$6*(C3*$N$5-J2))</f>
        <v/>
      </c>
      <c r="K3">
        <f>IF(B3="","",B3-B2)</f>
        <v/>
      </c>
      <c r="M3" t="inlineStr">
        <is>
          <t>ODR set (Hz)</t>
        </is>
      </c>
      <c r="N3" s="3" t="n">
        <v>104</v>
      </c>
    </row>
    <row r="4">
      <c r="G4">
        <f>IF(C4="","",C4*$N$5)</f>
        <v/>
      </c>
      <c r="J4">
        <f>IF(C4="","",J3+$N$6*(C4*$N$5-J3))</f>
        <v/>
      </c>
      <c r="K4">
        <f>IF(B4="","",B4-B3)</f>
        <v/>
      </c>
      <c r="M4" t="inlineStr">
        <is>
          <t>LPF2_XL_EN (0 or 1)</t>
        </is>
      </c>
      <c r="N4" s="3" t="n">
        <v>0</v>
      </c>
    </row>
    <row r="5">
      <c r="G5">
        <f>IF(C5="","",C5*$N$5)</f>
        <v/>
      </c>
      <c r="H5">
        <f>IF(C5="","",AVERAGE(C2:C5)*$N$5)</f>
        <v/>
      </c>
      <c r="J5">
        <f>IF(C5="","",J4+$N$6*(C5*$N$5-J4))</f>
        <v/>
      </c>
      <c r="K5">
        <f>IF(B5="","",B5-B4)</f>
        <v/>
      </c>
      <c r="M5" t="inlineStr">
        <is>
          <t>sensitivity (mg/LSB)</t>
        </is>
      </c>
      <c r="N5" s="3" t="n">
        <v>0.061</v>
      </c>
    </row>
    <row r="6">
      <c r="G6">
        <f>IF(C6="","",C6*$N$5)</f>
        <v/>
      </c>
      <c r="H6">
        <f>IF(C6="","",AVERAGE(C3:C6)*$N$5)</f>
        <v/>
      </c>
      <c r="J6">
        <f>IF(C6="","",J5+$N$6*(C6*$N$5-J5))</f>
        <v/>
      </c>
      <c r="K6">
        <f>IF(B6="","",B6-B5)</f>
        <v/>
      </c>
      <c r="M6" t="inlineStr">
        <is>
          <t>alpha for the low-pass</t>
        </is>
      </c>
      <c r="N6" s="3" t="n">
        <v>0.25</v>
      </c>
    </row>
    <row r="7">
      <c r="G7">
        <f>IF(C7="","",C7*$N$5)</f>
        <v/>
      </c>
      <c r="H7">
        <f>IF(C7="","",AVERAGE(C4:C7)*$N$5)</f>
        <v/>
      </c>
      <c r="J7">
        <f>IF(C7="","",J6+$N$6*(C7*$N$5-J6))</f>
        <v/>
      </c>
      <c r="K7">
        <f>IF(B7="","",B7-B6)</f>
        <v/>
      </c>
    </row>
    <row r="8">
      <c r="G8">
        <f>IF(C8="","",C8*$N$5)</f>
        <v/>
      </c>
      <c r="H8">
        <f>IF(C8="","",AVERAGE(C5:C8)*$N$5)</f>
        <v/>
      </c>
      <c r="J8">
        <f>IF(C8="","",J7+$N$6*(C8*$N$5-J7))</f>
        <v/>
      </c>
      <c r="K8">
        <f>IF(B8="","",B8-B7)</f>
        <v/>
      </c>
      <c r="M8" t="inlineStr">
        <is>
          <t>Paste the capture into A2:E… — n, t_ms, raw_x, raw_y, raw_z</t>
        </is>
      </c>
    </row>
    <row r="9">
      <c r="G9">
        <f>IF(C9="","",C9*$N$5)</f>
        <v/>
      </c>
      <c r="H9">
        <f>IF(C9="","",AVERAGE(C6:C9)*$N$5)</f>
        <v/>
      </c>
      <c r="J9">
        <f>IF(C9="","",J8+$N$6*(C9*$N$5-J8))</f>
        <v/>
      </c>
      <c r="K9">
        <f>IF(B9="","",B9-B8)</f>
        <v/>
      </c>
      <c r="M9" s="4" t="inlineStr">
        <is>
          <t>The columns right of the gap fill themselves.</t>
        </is>
      </c>
    </row>
    <row r="10">
      <c r="G10">
        <f>IF(C10="","",C10*$N$5)</f>
        <v/>
      </c>
      <c r="H10">
        <f>IF(C10="","",AVERAGE(C7:C10)*$N$5)</f>
        <v/>
      </c>
      <c r="J10">
        <f>IF(C10="","",J9+$N$6*(C10*$N$5-J9))</f>
        <v/>
      </c>
      <c r="K10">
        <f>IF(B10="","",B10-B9)</f>
        <v/>
      </c>
    </row>
    <row r="11">
      <c r="G11">
        <f>IF(C11="","",C11*$N$5)</f>
        <v/>
      </c>
      <c r="H11">
        <f>IF(C11="","",AVERAGE(C8:C11)*$N$5)</f>
        <v/>
      </c>
      <c r="J11">
        <f>IF(C11="","",J10+$N$6*(C11*$N$5-J10))</f>
        <v/>
      </c>
      <c r="K11">
        <f>IF(B11="","",B11-B10)</f>
        <v/>
      </c>
    </row>
    <row r="12">
      <c r="G12">
        <f>IF(C12="","",C12*$N$5)</f>
        <v/>
      </c>
      <c r="H12">
        <f>IF(C12="","",AVERAGE(C9:C12)*$N$5)</f>
        <v/>
      </c>
      <c r="J12">
        <f>IF(C12="","",J11+$N$6*(C12*$N$5-J11))</f>
        <v/>
      </c>
      <c r="K12">
        <f>IF(B12="","",B12-B11)</f>
        <v/>
      </c>
    </row>
    <row r="13">
      <c r="G13">
        <f>IF(C13="","",C13*$N$5)</f>
        <v/>
      </c>
      <c r="H13">
        <f>IF(C13="","",AVERAGE(C10:C13)*$N$5)</f>
        <v/>
      </c>
      <c r="J13">
        <f>IF(C13="","",J12+$N$6*(C13*$N$5-J12))</f>
        <v/>
      </c>
      <c r="K13">
        <f>IF(B13="","",B13-B12)</f>
        <v/>
      </c>
    </row>
    <row r="14">
      <c r="G14">
        <f>IF(C14="","",C14*$N$5)</f>
        <v/>
      </c>
      <c r="H14">
        <f>IF(C14="","",AVERAGE(C11:C14)*$N$5)</f>
        <v/>
      </c>
      <c r="J14">
        <f>IF(C14="","",J13+$N$6*(C14*$N$5-J13))</f>
        <v/>
      </c>
      <c r="K14">
        <f>IF(B14="","",B14-B13)</f>
        <v/>
      </c>
    </row>
    <row r="15">
      <c r="G15">
        <f>IF(C15="","",C15*$N$5)</f>
        <v/>
      </c>
      <c r="H15">
        <f>IF(C15="","",AVERAGE(C12:C15)*$N$5)</f>
        <v/>
      </c>
      <c r="J15">
        <f>IF(C15="","",J14+$N$6*(C15*$N$5-J14))</f>
        <v/>
      </c>
      <c r="K15">
        <f>IF(B15="","",B15-B14)</f>
        <v/>
      </c>
    </row>
    <row r="16">
      <c r="G16">
        <f>IF(C16="","",C16*$N$5)</f>
        <v/>
      </c>
      <c r="H16">
        <f>IF(C16="","",AVERAGE(C13:C16)*$N$5)</f>
        <v/>
      </c>
      <c r="J16">
        <f>IF(C16="","",J15+$N$6*(C16*$N$5-J15))</f>
        <v/>
      </c>
      <c r="K16">
        <f>IF(B16="","",B16-B15)</f>
        <v/>
      </c>
    </row>
    <row r="17">
      <c r="G17">
        <f>IF(C17="","",C17*$N$5)</f>
        <v/>
      </c>
      <c r="H17">
        <f>IF(C17="","",AVERAGE(C14:C17)*$N$5)</f>
        <v/>
      </c>
      <c r="I17">
        <f>IF(C17="","",AVERAGE(C2:C17)*$N$5)</f>
        <v/>
      </c>
      <c r="J17">
        <f>IF(C17="","",J16+$N$6*(C17*$N$5-J16))</f>
        <v/>
      </c>
      <c r="K17">
        <f>IF(B17="","",B17-B16)</f>
        <v/>
      </c>
    </row>
    <row r="18">
      <c r="G18">
        <f>IF(C18="","",C18*$N$5)</f>
        <v/>
      </c>
      <c r="H18">
        <f>IF(C18="","",AVERAGE(C15:C18)*$N$5)</f>
        <v/>
      </c>
      <c r="I18">
        <f>IF(C18="","",AVERAGE(C3:C18)*$N$5)</f>
        <v/>
      </c>
      <c r="J18">
        <f>IF(C18="","",J17+$N$6*(C18*$N$5-J17))</f>
        <v/>
      </c>
      <c r="K18">
        <f>IF(B18="","",B18-B17)</f>
        <v/>
      </c>
    </row>
    <row r="19">
      <c r="G19">
        <f>IF(C19="","",C19*$N$5)</f>
        <v/>
      </c>
      <c r="H19">
        <f>IF(C19="","",AVERAGE(C16:C19)*$N$5)</f>
        <v/>
      </c>
      <c r="I19">
        <f>IF(C19="","",AVERAGE(C4:C19)*$N$5)</f>
        <v/>
      </c>
      <c r="J19">
        <f>IF(C19="","",J18+$N$6*(C19*$N$5-J18))</f>
        <v/>
      </c>
      <c r="K19">
        <f>IF(B19="","",B19-B18)</f>
        <v/>
      </c>
    </row>
    <row r="20">
      <c r="G20">
        <f>IF(C20="","",C20*$N$5)</f>
        <v/>
      </c>
      <c r="H20">
        <f>IF(C20="","",AVERAGE(C17:C20)*$N$5)</f>
        <v/>
      </c>
      <c r="I20">
        <f>IF(C20="","",AVERAGE(C5:C20)*$N$5)</f>
        <v/>
      </c>
      <c r="J20">
        <f>IF(C20="","",J19+$N$6*(C20*$N$5-J19))</f>
        <v/>
      </c>
      <c r="K20">
        <f>IF(B20="","",B20-B19)</f>
        <v/>
      </c>
    </row>
    <row r="21">
      <c r="G21">
        <f>IF(C21="","",C21*$N$5)</f>
        <v/>
      </c>
      <c r="H21">
        <f>IF(C21="","",AVERAGE(C18:C21)*$N$5)</f>
        <v/>
      </c>
      <c r="I21">
        <f>IF(C21="","",AVERAGE(C6:C21)*$N$5)</f>
        <v/>
      </c>
      <c r="J21">
        <f>IF(C21="","",J20+$N$6*(C21*$N$5-J20))</f>
        <v/>
      </c>
      <c r="K21">
        <f>IF(B21="","",B21-B20)</f>
        <v/>
      </c>
    </row>
    <row r="22">
      <c r="G22">
        <f>IF(C22="","",C22*$N$5)</f>
        <v/>
      </c>
      <c r="H22">
        <f>IF(C22="","",AVERAGE(C19:C22)*$N$5)</f>
        <v/>
      </c>
      <c r="I22">
        <f>IF(C22="","",AVERAGE(C7:C22)*$N$5)</f>
        <v/>
      </c>
      <c r="J22">
        <f>IF(C22="","",J21+$N$6*(C22*$N$5-J21))</f>
        <v/>
      </c>
      <c r="K22">
        <f>IF(B22="","",B22-B21)</f>
        <v/>
      </c>
    </row>
    <row r="23">
      <c r="G23">
        <f>IF(C23="","",C23*$N$5)</f>
        <v/>
      </c>
      <c r="H23">
        <f>IF(C23="","",AVERAGE(C20:C23)*$N$5)</f>
        <v/>
      </c>
      <c r="I23">
        <f>IF(C23="","",AVERAGE(C8:C23)*$N$5)</f>
        <v/>
      </c>
      <c r="J23">
        <f>IF(C23="","",J22+$N$6*(C23*$N$5-J22))</f>
        <v/>
      </c>
      <c r="K23">
        <f>IF(B23="","",B23-B22)</f>
        <v/>
      </c>
    </row>
    <row r="24">
      <c r="G24">
        <f>IF(C24="","",C24*$N$5)</f>
        <v/>
      </c>
      <c r="H24">
        <f>IF(C24="","",AVERAGE(C21:C24)*$N$5)</f>
        <v/>
      </c>
      <c r="I24">
        <f>IF(C24="","",AVERAGE(C9:C24)*$N$5)</f>
        <v/>
      </c>
      <c r="J24">
        <f>IF(C24="","",J23+$N$6*(C24*$N$5-J23))</f>
        <v/>
      </c>
      <c r="K24">
        <f>IF(B24="","",B24-B23)</f>
        <v/>
      </c>
    </row>
    <row r="25">
      <c r="G25">
        <f>IF(C25="","",C25*$N$5)</f>
        <v/>
      </c>
      <c r="H25">
        <f>IF(C25="","",AVERAGE(C22:C25)*$N$5)</f>
        <v/>
      </c>
      <c r="I25">
        <f>IF(C25="","",AVERAGE(C10:C25)*$N$5)</f>
        <v/>
      </c>
      <c r="J25">
        <f>IF(C25="","",J24+$N$6*(C25*$N$5-J24))</f>
        <v/>
      </c>
      <c r="K25">
        <f>IF(B25="","",B25-B24)</f>
        <v/>
      </c>
    </row>
    <row r="26">
      <c r="G26">
        <f>IF(C26="","",C26*$N$5)</f>
        <v/>
      </c>
      <c r="H26">
        <f>IF(C26="","",AVERAGE(C23:C26)*$N$5)</f>
        <v/>
      </c>
      <c r="I26">
        <f>IF(C26="","",AVERAGE(C11:C26)*$N$5)</f>
        <v/>
      </c>
      <c r="J26">
        <f>IF(C26="","",J25+$N$6*(C26*$N$5-J25))</f>
        <v/>
      </c>
      <c r="K26">
        <f>IF(B26="","",B26-B25)</f>
        <v/>
      </c>
    </row>
    <row r="27">
      <c r="G27">
        <f>IF(C27="","",C27*$N$5)</f>
        <v/>
      </c>
      <c r="H27">
        <f>IF(C27="","",AVERAGE(C24:C27)*$N$5)</f>
        <v/>
      </c>
      <c r="I27">
        <f>IF(C27="","",AVERAGE(C12:C27)*$N$5)</f>
        <v/>
      </c>
      <c r="J27">
        <f>IF(C27="","",J26+$N$6*(C27*$N$5-J26))</f>
        <v/>
      </c>
      <c r="K27">
        <f>IF(B27="","",B27-B26)</f>
        <v/>
      </c>
    </row>
    <row r="28">
      <c r="G28">
        <f>IF(C28="","",C28*$N$5)</f>
        <v/>
      </c>
      <c r="H28">
        <f>IF(C28="","",AVERAGE(C25:C28)*$N$5)</f>
        <v/>
      </c>
      <c r="I28">
        <f>IF(C28="","",AVERAGE(C13:C28)*$N$5)</f>
        <v/>
      </c>
      <c r="J28">
        <f>IF(C28="","",J27+$N$6*(C28*$N$5-J27))</f>
        <v/>
      </c>
      <c r="K28">
        <f>IF(B28="","",B28-B27)</f>
        <v/>
      </c>
    </row>
    <row r="29">
      <c r="G29">
        <f>IF(C29="","",C29*$N$5)</f>
        <v/>
      </c>
      <c r="H29">
        <f>IF(C29="","",AVERAGE(C26:C29)*$N$5)</f>
        <v/>
      </c>
      <c r="I29">
        <f>IF(C29="","",AVERAGE(C14:C29)*$N$5)</f>
        <v/>
      </c>
      <c r="J29">
        <f>IF(C29="","",J28+$N$6*(C29*$N$5-J28))</f>
        <v/>
      </c>
      <c r="K29">
        <f>IF(B29="","",B29-B28)</f>
        <v/>
      </c>
    </row>
    <row r="30">
      <c r="G30">
        <f>IF(C30="","",C30*$N$5)</f>
        <v/>
      </c>
      <c r="H30">
        <f>IF(C30="","",AVERAGE(C27:C30)*$N$5)</f>
        <v/>
      </c>
      <c r="I30">
        <f>IF(C30="","",AVERAGE(C15:C30)*$N$5)</f>
        <v/>
      </c>
      <c r="J30">
        <f>IF(C30="","",J29+$N$6*(C30*$N$5-J29))</f>
        <v/>
      </c>
      <c r="K30">
        <f>IF(B30="","",B30-B29)</f>
        <v/>
      </c>
    </row>
    <row r="31">
      <c r="G31">
        <f>IF(C31="","",C31*$N$5)</f>
        <v/>
      </c>
      <c r="H31">
        <f>IF(C31="","",AVERAGE(C28:C31)*$N$5)</f>
        <v/>
      </c>
      <c r="I31">
        <f>IF(C31="","",AVERAGE(C16:C31)*$N$5)</f>
        <v/>
      </c>
      <c r="J31">
        <f>IF(C31="","",J30+$N$6*(C31*$N$5-J30))</f>
        <v/>
      </c>
      <c r="K31">
        <f>IF(B31="","",B31-B30)</f>
        <v/>
      </c>
    </row>
    <row r="32">
      <c r="G32">
        <f>IF(C32="","",C32*$N$5)</f>
        <v/>
      </c>
      <c r="H32">
        <f>IF(C32="","",AVERAGE(C29:C32)*$N$5)</f>
        <v/>
      </c>
      <c r="I32">
        <f>IF(C32="","",AVERAGE(C17:C32)*$N$5)</f>
        <v/>
      </c>
      <c r="J32">
        <f>IF(C32="","",J31+$N$6*(C32*$N$5-J31))</f>
        <v/>
      </c>
      <c r="K32">
        <f>IF(B32="","",B32-B31)</f>
        <v/>
      </c>
    </row>
    <row r="33">
      <c r="G33">
        <f>IF(C33="","",C33*$N$5)</f>
        <v/>
      </c>
      <c r="H33">
        <f>IF(C33="","",AVERAGE(C30:C33)*$N$5)</f>
        <v/>
      </c>
      <c r="I33">
        <f>IF(C33="","",AVERAGE(C18:C33)*$N$5)</f>
        <v/>
      </c>
      <c r="J33">
        <f>IF(C33="","",J32+$N$6*(C33*$N$5-J32))</f>
        <v/>
      </c>
      <c r="K33">
        <f>IF(B33="","",B33-B32)</f>
        <v/>
      </c>
    </row>
    <row r="34">
      <c r="G34">
        <f>IF(C34="","",C34*$N$5)</f>
        <v/>
      </c>
      <c r="H34">
        <f>IF(C34="","",AVERAGE(C31:C34)*$N$5)</f>
        <v/>
      </c>
      <c r="I34">
        <f>IF(C34="","",AVERAGE(C19:C34)*$N$5)</f>
        <v/>
      </c>
      <c r="J34">
        <f>IF(C34="","",J33+$N$6*(C34*$N$5-J33))</f>
        <v/>
      </c>
      <c r="K34">
        <f>IF(B34="","",B34-B33)</f>
        <v/>
      </c>
    </row>
    <row r="35">
      <c r="G35">
        <f>IF(C35="","",C35*$N$5)</f>
        <v/>
      </c>
      <c r="H35">
        <f>IF(C35="","",AVERAGE(C32:C35)*$N$5)</f>
        <v/>
      </c>
      <c r="I35">
        <f>IF(C35="","",AVERAGE(C20:C35)*$N$5)</f>
        <v/>
      </c>
      <c r="J35">
        <f>IF(C35="","",J34+$N$6*(C35*$N$5-J34))</f>
        <v/>
      </c>
      <c r="K35">
        <f>IF(B35="","",B35-B34)</f>
        <v/>
      </c>
    </row>
    <row r="36">
      <c r="G36">
        <f>IF(C36="","",C36*$N$5)</f>
        <v/>
      </c>
      <c r="H36">
        <f>IF(C36="","",AVERAGE(C33:C36)*$N$5)</f>
        <v/>
      </c>
      <c r="I36">
        <f>IF(C36="","",AVERAGE(C21:C36)*$N$5)</f>
        <v/>
      </c>
      <c r="J36">
        <f>IF(C36="","",J35+$N$6*(C36*$N$5-J35))</f>
        <v/>
      </c>
      <c r="K36">
        <f>IF(B36="","",B36-B35)</f>
        <v/>
      </c>
    </row>
    <row r="37">
      <c r="G37">
        <f>IF(C37="","",C37*$N$5)</f>
        <v/>
      </c>
      <c r="H37">
        <f>IF(C37="","",AVERAGE(C34:C37)*$N$5)</f>
        <v/>
      </c>
      <c r="I37">
        <f>IF(C37="","",AVERAGE(C22:C37)*$N$5)</f>
        <v/>
      </c>
      <c r="J37">
        <f>IF(C37="","",J36+$N$6*(C37*$N$5-J36))</f>
        <v/>
      </c>
      <c r="K37">
        <f>IF(B37="","",B37-B36)</f>
        <v/>
      </c>
    </row>
    <row r="38">
      <c r="G38">
        <f>IF(C38="","",C38*$N$5)</f>
        <v/>
      </c>
      <c r="H38">
        <f>IF(C38="","",AVERAGE(C35:C38)*$N$5)</f>
        <v/>
      </c>
      <c r="I38">
        <f>IF(C38="","",AVERAGE(C23:C38)*$N$5)</f>
        <v/>
      </c>
      <c r="J38">
        <f>IF(C38="","",J37+$N$6*(C38*$N$5-J37))</f>
        <v/>
      </c>
      <c r="K38">
        <f>IF(B38="","",B38-B37)</f>
        <v/>
      </c>
    </row>
    <row r="39">
      <c r="G39">
        <f>IF(C39="","",C39*$N$5)</f>
        <v/>
      </c>
      <c r="H39">
        <f>IF(C39="","",AVERAGE(C36:C39)*$N$5)</f>
        <v/>
      </c>
      <c r="I39">
        <f>IF(C39="","",AVERAGE(C24:C39)*$N$5)</f>
        <v/>
      </c>
      <c r="J39">
        <f>IF(C39="","",J38+$N$6*(C39*$N$5-J38))</f>
        <v/>
      </c>
      <c r="K39">
        <f>IF(B39="","",B39-B38)</f>
        <v/>
      </c>
    </row>
    <row r="40">
      <c r="G40">
        <f>IF(C40="","",C40*$N$5)</f>
        <v/>
      </c>
      <c r="H40">
        <f>IF(C40="","",AVERAGE(C37:C40)*$N$5)</f>
        <v/>
      </c>
      <c r="I40">
        <f>IF(C40="","",AVERAGE(C25:C40)*$N$5)</f>
        <v/>
      </c>
      <c r="J40">
        <f>IF(C40="","",J39+$N$6*(C40*$N$5-J39))</f>
        <v/>
      </c>
      <c r="K40">
        <f>IF(B40="","",B40-B39)</f>
        <v/>
      </c>
    </row>
    <row r="41">
      <c r="G41">
        <f>IF(C41="","",C41*$N$5)</f>
        <v/>
      </c>
      <c r="H41">
        <f>IF(C41="","",AVERAGE(C38:C41)*$N$5)</f>
        <v/>
      </c>
      <c r="I41">
        <f>IF(C41="","",AVERAGE(C26:C41)*$N$5)</f>
        <v/>
      </c>
      <c r="J41">
        <f>IF(C41="","",J40+$N$6*(C41*$N$5-J40))</f>
        <v/>
      </c>
      <c r="K41">
        <f>IF(B41="","",B41-B40)</f>
        <v/>
      </c>
    </row>
    <row r="42">
      <c r="G42">
        <f>IF(C42="","",C42*$N$5)</f>
        <v/>
      </c>
      <c r="H42">
        <f>IF(C42="","",AVERAGE(C39:C42)*$N$5)</f>
        <v/>
      </c>
      <c r="I42">
        <f>IF(C42="","",AVERAGE(C27:C42)*$N$5)</f>
        <v/>
      </c>
      <c r="J42">
        <f>IF(C42="","",J41+$N$6*(C42*$N$5-J41))</f>
        <v/>
      </c>
      <c r="K42">
        <f>IF(B42="","",B42-B41)</f>
        <v/>
      </c>
    </row>
    <row r="43">
      <c r="G43">
        <f>IF(C43="","",C43*$N$5)</f>
        <v/>
      </c>
      <c r="H43">
        <f>IF(C43="","",AVERAGE(C40:C43)*$N$5)</f>
        <v/>
      </c>
      <c r="I43">
        <f>IF(C43="","",AVERAGE(C28:C43)*$N$5)</f>
        <v/>
      </c>
      <c r="J43">
        <f>IF(C43="","",J42+$N$6*(C43*$N$5-J42))</f>
        <v/>
      </c>
      <c r="K43">
        <f>IF(B43="","",B43-B42)</f>
        <v/>
      </c>
    </row>
    <row r="44">
      <c r="G44">
        <f>IF(C44="","",C44*$N$5)</f>
        <v/>
      </c>
      <c r="H44">
        <f>IF(C44="","",AVERAGE(C41:C44)*$N$5)</f>
        <v/>
      </c>
      <c r="I44">
        <f>IF(C44="","",AVERAGE(C29:C44)*$N$5)</f>
        <v/>
      </c>
      <c r="J44">
        <f>IF(C44="","",J43+$N$6*(C44*$N$5-J43))</f>
        <v/>
      </c>
      <c r="K44">
        <f>IF(B44="","",B44-B43)</f>
        <v/>
      </c>
    </row>
    <row r="45">
      <c r="G45">
        <f>IF(C45="","",C45*$N$5)</f>
        <v/>
      </c>
      <c r="H45">
        <f>IF(C45="","",AVERAGE(C42:C45)*$N$5)</f>
        <v/>
      </c>
      <c r="I45">
        <f>IF(C45="","",AVERAGE(C30:C45)*$N$5)</f>
        <v/>
      </c>
      <c r="J45">
        <f>IF(C45="","",J44+$N$6*(C45*$N$5-J44))</f>
        <v/>
      </c>
      <c r="K45">
        <f>IF(B45="","",B45-B44)</f>
        <v/>
      </c>
    </row>
    <row r="46">
      <c r="G46">
        <f>IF(C46="","",C46*$N$5)</f>
        <v/>
      </c>
      <c r="H46">
        <f>IF(C46="","",AVERAGE(C43:C46)*$N$5)</f>
        <v/>
      </c>
      <c r="I46">
        <f>IF(C46="","",AVERAGE(C31:C46)*$N$5)</f>
        <v/>
      </c>
      <c r="J46">
        <f>IF(C46="","",J45+$N$6*(C46*$N$5-J45))</f>
        <v/>
      </c>
      <c r="K46">
        <f>IF(B46="","",B46-B45)</f>
        <v/>
      </c>
    </row>
    <row r="47">
      <c r="G47">
        <f>IF(C47="","",C47*$N$5)</f>
        <v/>
      </c>
      <c r="H47">
        <f>IF(C47="","",AVERAGE(C44:C47)*$N$5)</f>
        <v/>
      </c>
      <c r="I47">
        <f>IF(C47="","",AVERAGE(C32:C47)*$N$5)</f>
        <v/>
      </c>
      <c r="J47">
        <f>IF(C47="","",J46+$N$6*(C47*$N$5-J46))</f>
        <v/>
      </c>
      <c r="K47">
        <f>IF(B47="","",B47-B46)</f>
        <v/>
      </c>
    </row>
    <row r="48">
      <c r="G48">
        <f>IF(C48="","",C48*$N$5)</f>
        <v/>
      </c>
      <c r="H48">
        <f>IF(C48="","",AVERAGE(C45:C48)*$N$5)</f>
        <v/>
      </c>
      <c r="I48">
        <f>IF(C48="","",AVERAGE(C33:C48)*$N$5)</f>
        <v/>
      </c>
      <c r="J48">
        <f>IF(C48="","",J47+$N$6*(C48*$N$5-J47))</f>
        <v/>
      </c>
      <c r="K48">
        <f>IF(B48="","",B48-B47)</f>
        <v/>
      </c>
    </row>
    <row r="49">
      <c r="G49">
        <f>IF(C49="","",C49*$N$5)</f>
        <v/>
      </c>
      <c r="H49">
        <f>IF(C49="","",AVERAGE(C46:C49)*$N$5)</f>
        <v/>
      </c>
      <c r="I49">
        <f>IF(C49="","",AVERAGE(C34:C49)*$N$5)</f>
        <v/>
      </c>
      <c r="J49">
        <f>IF(C49="","",J48+$N$6*(C49*$N$5-J48))</f>
        <v/>
      </c>
      <c r="K49">
        <f>IF(B49="","",B49-B48)</f>
        <v/>
      </c>
    </row>
    <row r="50">
      <c r="G50">
        <f>IF(C50="","",C50*$N$5)</f>
        <v/>
      </c>
      <c r="H50">
        <f>IF(C50="","",AVERAGE(C47:C50)*$N$5)</f>
        <v/>
      </c>
      <c r="I50">
        <f>IF(C50="","",AVERAGE(C35:C50)*$N$5)</f>
        <v/>
      </c>
      <c r="J50">
        <f>IF(C50="","",J49+$N$6*(C50*$N$5-J49))</f>
        <v/>
      </c>
      <c r="K50">
        <f>IF(B50="","",B50-B49)</f>
        <v/>
      </c>
    </row>
    <row r="51">
      <c r="G51">
        <f>IF(C51="","",C51*$N$5)</f>
        <v/>
      </c>
      <c r="H51">
        <f>IF(C51="","",AVERAGE(C48:C51)*$N$5)</f>
        <v/>
      </c>
      <c r="I51">
        <f>IF(C51="","",AVERAGE(C36:C51)*$N$5)</f>
        <v/>
      </c>
      <c r="J51">
        <f>IF(C51="","",J50+$N$6*(C51*$N$5-J50))</f>
        <v/>
      </c>
      <c r="K51">
        <f>IF(B51="","",B51-B50)</f>
        <v/>
      </c>
    </row>
    <row r="52">
      <c r="G52">
        <f>IF(C52="","",C52*$N$5)</f>
        <v/>
      </c>
      <c r="H52">
        <f>IF(C52="","",AVERAGE(C49:C52)*$N$5)</f>
        <v/>
      </c>
      <c r="I52">
        <f>IF(C52="","",AVERAGE(C37:C52)*$N$5)</f>
        <v/>
      </c>
      <c r="J52">
        <f>IF(C52="","",J51+$N$6*(C52*$N$5-J51))</f>
        <v/>
      </c>
      <c r="K52">
        <f>IF(B52="","",B52-B51)</f>
        <v/>
      </c>
    </row>
    <row r="53">
      <c r="G53">
        <f>IF(C53="","",C53*$N$5)</f>
        <v/>
      </c>
      <c r="H53">
        <f>IF(C53="","",AVERAGE(C50:C53)*$N$5)</f>
        <v/>
      </c>
      <c r="I53">
        <f>IF(C53="","",AVERAGE(C38:C53)*$N$5)</f>
        <v/>
      </c>
      <c r="J53">
        <f>IF(C53="","",J52+$N$6*(C53*$N$5-J52))</f>
        <v/>
      </c>
      <c r="K53">
        <f>IF(B53="","",B53-B52)</f>
        <v/>
      </c>
    </row>
    <row r="54">
      <c r="G54">
        <f>IF(C54="","",C54*$N$5)</f>
        <v/>
      </c>
      <c r="H54">
        <f>IF(C54="","",AVERAGE(C51:C54)*$N$5)</f>
        <v/>
      </c>
      <c r="I54">
        <f>IF(C54="","",AVERAGE(C39:C54)*$N$5)</f>
        <v/>
      </c>
      <c r="J54">
        <f>IF(C54="","",J53+$N$6*(C54*$N$5-J53))</f>
        <v/>
      </c>
      <c r="K54">
        <f>IF(B54="","",B54-B53)</f>
        <v/>
      </c>
    </row>
    <row r="55">
      <c r="G55">
        <f>IF(C55="","",C55*$N$5)</f>
        <v/>
      </c>
      <c r="H55">
        <f>IF(C55="","",AVERAGE(C52:C55)*$N$5)</f>
        <v/>
      </c>
      <c r="I55">
        <f>IF(C55="","",AVERAGE(C40:C55)*$N$5)</f>
        <v/>
      </c>
      <c r="J55">
        <f>IF(C55="","",J54+$N$6*(C55*$N$5-J54))</f>
        <v/>
      </c>
      <c r="K55">
        <f>IF(B55="","",B55-B54)</f>
        <v/>
      </c>
    </row>
    <row r="56">
      <c r="G56">
        <f>IF(C56="","",C56*$N$5)</f>
        <v/>
      </c>
      <c r="H56">
        <f>IF(C56="","",AVERAGE(C53:C56)*$N$5)</f>
        <v/>
      </c>
      <c r="I56">
        <f>IF(C56="","",AVERAGE(C41:C56)*$N$5)</f>
        <v/>
      </c>
      <c r="J56">
        <f>IF(C56="","",J55+$N$6*(C56*$N$5-J55))</f>
        <v/>
      </c>
      <c r="K56">
        <f>IF(B56="","",B56-B55)</f>
        <v/>
      </c>
    </row>
    <row r="57">
      <c r="G57">
        <f>IF(C57="","",C57*$N$5)</f>
        <v/>
      </c>
      <c r="H57">
        <f>IF(C57="","",AVERAGE(C54:C57)*$N$5)</f>
        <v/>
      </c>
      <c r="I57">
        <f>IF(C57="","",AVERAGE(C42:C57)*$N$5)</f>
        <v/>
      </c>
      <c r="J57">
        <f>IF(C57="","",J56+$N$6*(C57*$N$5-J56))</f>
        <v/>
      </c>
      <c r="K57">
        <f>IF(B57="","",B57-B56)</f>
        <v/>
      </c>
    </row>
    <row r="58">
      <c r="G58">
        <f>IF(C58="","",C58*$N$5)</f>
        <v/>
      </c>
      <c r="H58">
        <f>IF(C58="","",AVERAGE(C55:C58)*$N$5)</f>
        <v/>
      </c>
      <c r="I58">
        <f>IF(C58="","",AVERAGE(C43:C58)*$N$5)</f>
        <v/>
      </c>
      <c r="J58">
        <f>IF(C58="","",J57+$N$6*(C58*$N$5-J57))</f>
        <v/>
      </c>
      <c r="K58">
        <f>IF(B58="","",B58-B57)</f>
        <v/>
      </c>
    </row>
    <row r="59">
      <c r="G59">
        <f>IF(C59="","",C59*$N$5)</f>
        <v/>
      </c>
      <c r="H59">
        <f>IF(C59="","",AVERAGE(C56:C59)*$N$5)</f>
        <v/>
      </c>
      <c r="I59">
        <f>IF(C59="","",AVERAGE(C44:C59)*$N$5)</f>
        <v/>
      </c>
      <c r="J59">
        <f>IF(C59="","",J58+$N$6*(C59*$N$5-J58))</f>
        <v/>
      </c>
      <c r="K59">
        <f>IF(B59="","",B59-B58)</f>
        <v/>
      </c>
    </row>
    <row r="60">
      <c r="G60">
        <f>IF(C60="","",C60*$N$5)</f>
        <v/>
      </c>
      <c r="H60">
        <f>IF(C60="","",AVERAGE(C57:C60)*$N$5)</f>
        <v/>
      </c>
      <c r="I60">
        <f>IF(C60="","",AVERAGE(C45:C60)*$N$5)</f>
        <v/>
      </c>
      <c r="J60">
        <f>IF(C60="","",J59+$N$6*(C60*$N$5-J59))</f>
        <v/>
      </c>
      <c r="K60">
        <f>IF(B60="","",B60-B59)</f>
        <v/>
      </c>
    </row>
    <row r="61">
      <c r="G61">
        <f>IF(C61="","",C61*$N$5)</f>
        <v/>
      </c>
      <c r="H61">
        <f>IF(C61="","",AVERAGE(C58:C61)*$N$5)</f>
        <v/>
      </c>
      <c r="I61">
        <f>IF(C61="","",AVERAGE(C46:C61)*$N$5)</f>
        <v/>
      </c>
      <c r="J61">
        <f>IF(C61="","",J60+$N$6*(C61*$N$5-J60))</f>
        <v/>
      </c>
      <c r="K61">
        <f>IF(B61="","",B61-B60)</f>
        <v/>
      </c>
    </row>
    <row r="62">
      <c r="G62">
        <f>IF(C62="","",C62*$N$5)</f>
        <v/>
      </c>
      <c r="H62">
        <f>IF(C62="","",AVERAGE(C59:C62)*$N$5)</f>
        <v/>
      </c>
      <c r="I62">
        <f>IF(C62="","",AVERAGE(C47:C62)*$N$5)</f>
        <v/>
      </c>
      <c r="J62">
        <f>IF(C62="","",J61+$N$6*(C62*$N$5-J61))</f>
        <v/>
      </c>
      <c r="K62">
        <f>IF(B62="","",B62-B61)</f>
        <v/>
      </c>
    </row>
    <row r="63">
      <c r="G63">
        <f>IF(C63="","",C63*$N$5)</f>
        <v/>
      </c>
      <c r="H63">
        <f>IF(C63="","",AVERAGE(C60:C63)*$N$5)</f>
        <v/>
      </c>
      <c r="I63">
        <f>IF(C63="","",AVERAGE(C48:C63)*$N$5)</f>
        <v/>
      </c>
      <c r="J63">
        <f>IF(C63="","",J62+$N$6*(C63*$N$5-J62))</f>
        <v/>
      </c>
      <c r="K63">
        <f>IF(B63="","",B63-B62)</f>
        <v/>
      </c>
    </row>
    <row r="64">
      <c r="G64">
        <f>IF(C64="","",C64*$N$5)</f>
        <v/>
      </c>
      <c r="H64">
        <f>IF(C64="","",AVERAGE(C61:C64)*$N$5)</f>
        <v/>
      </c>
      <c r="I64">
        <f>IF(C64="","",AVERAGE(C49:C64)*$N$5)</f>
        <v/>
      </c>
      <c r="J64">
        <f>IF(C64="","",J63+$N$6*(C64*$N$5-J63))</f>
        <v/>
      </c>
      <c r="K64">
        <f>IF(B64="","",B64-B63)</f>
        <v/>
      </c>
    </row>
    <row r="65">
      <c r="G65">
        <f>IF(C65="","",C65*$N$5)</f>
        <v/>
      </c>
      <c r="H65">
        <f>IF(C65="","",AVERAGE(C62:C65)*$N$5)</f>
        <v/>
      </c>
      <c r="I65">
        <f>IF(C65="","",AVERAGE(C50:C65)*$N$5)</f>
        <v/>
      </c>
      <c r="J65">
        <f>IF(C65="","",J64+$N$6*(C65*$N$5-J64))</f>
        <v/>
      </c>
      <c r="K65">
        <f>IF(B65="","",B65-B64)</f>
        <v/>
      </c>
    </row>
    <row r="66">
      <c r="G66">
        <f>IF(C66="","",C66*$N$5)</f>
        <v/>
      </c>
      <c r="H66">
        <f>IF(C66="","",AVERAGE(C63:C66)*$N$5)</f>
        <v/>
      </c>
      <c r="I66">
        <f>IF(C66="","",AVERAGE(C51:C66)*$N$5)</f>
        <v/>
      </c>
      <c r="J66">
        <f>IF(C66="","",J65+$N$6*(C66*$N$5-J65))</f>
        <v/>
      </c>
      <c r="K66">
        <f>IF(B66="","",B66-B65)</f>
        <v/>
      </c>
    </row>
    <row r="67">
      <c r="G67">
        <f>IF(C67="","",C67*$N$5)</f>
        <v/>
      </c>
      <c r="H67">
        <f>IF(C67="","",AVERAGE(C64:C67)*$N$5)</f>
        <v/>
      </c>
      <c r="I67">
        <f>IF(C67="","",AVERAGE(C52:C67)*$N$5)</f>
        <v/>
      </c>
      <c r="J67">
        <f>IF(C67="","",J66+$N$6*(C67*$N$5-J66))</f>
        <v/>
      </c>
      <c r="K67">
        <f>IF(B67="","",B67-B66)</f>
        <v/>
      </c>
    </row>
    <row r="68">
      <c r="G68">
        <f>IF(C68="","",C68*$N$5)</f>
        <v/>
      </c>
      <c r="H68">
        <f>IF(C68="","",AVERAGE(C65:C68)*$N$5)</f>
        <v/>
      </c>
      <c r="I68">
        <f>IF(C68="","",AVERAGE(C53:C68)*$N$5)</f>
        <v/>
      </c>
      <c r="J68">
        <f>IF(C68="","",J67+$N$6*(C68*$N$5-J67))</f>
        <v/>
      </c>
      <c r="K68">
        <f>IF(B68="","",B68-B67)</f>
        <v/>
      </c>
    </row>
    <row r="69">
      <c r="G69">
        <f>IF(C69="","",C69*$N$5)</f>
        <v/>
      </c>
      <c r="H69">
        <f>IF(C69="","",AVERAGE(C66:C69)*$N$5)</f>
        <v/>
      </c>
      <c r="I69">
        <f>IF(C69="","",AVERAGE(C54:C69)*$N$5)</f>
        <v/>
      </c>
      <c r="J69">
        <f>IF(C69="","",J68+$N$6*(C69*$N$5-J68))</f>
        <v/>
      </c>
      <c r="K69">
        <f>IF(B69="","",B69-B68)</f>
        <v/>
      </c>
    </row>
    <row r="70">
      <c r="G70">
        <f>IF(C70="","",C70*$N$5)</f>
        <v/>
      </c>
      <c r="H70">
        <f>IF(C70="","",AVERAGE(C67:C70)*$N$5)</f>
        <v/>
      </c>
      <c r="I70">
        <f>IF(C70="","",AVERAGE(C55:C70)*$N$5)</f>
        <v/>
      </c>
      <c r="J70">
        <f>IF(C70="","",J69+$N$6*(C70*$N$5-J69))</f>
        <v/>
      </c>
      <c r="K70">
        <f>IF(B70="","",B70-B69)</f>
        <v/>
      </c>
    </row>
    <row r="71">
      <c r="G71">
        <f>IF(C71="","",C71*$N$5)</f>
        <v/>
      </c>
      <c r="H71">
        <f>IF(C71="","",AVERAGE(C68:C71)*$N$5)</f>
        <v/>
      </c>
      <c r="I71">
        <f>IF(C71="","",AVERAGE(C56:C71)*$N$5)</f>
        <v/>
      </c>
      <c r="J71">
        <f>IF(C71="","",J70+$N$6*(C71*$N$5-J70))</f>
        <v/>
      </c>
      <c r="K71">
        <f>IF(B71="","",B71-B70)</f>
        <v/>
      </c>
    </row>
    <row r="72">
      <c r="G72">
        <f>IF(C72="","",C72*$N$5)</f>
        <v/>
      </c>
      <c r="H72">
        <f>IF(C72="","",AVERAGE(C69:C72)*$N$5)</f>
        <v/>
      </c>
      <c r="I72">
        <f>IF(C72="","",AVERAGE(C57:C72)*$N$5)</f>
        <v/>
      </c>
      <c r="J72">
        <f>IF(C72="","",J71+$N$6*(C72*$N$5-J71))</f>
        <v/>
      </c>
      <c r="K72">
        <f>IF(B72="","",B72-B71)</f>
        <v/>
      </c>
    </row>
    <row r="73">
      <c r="G73">
        <f>IF(C73="","",C73*$N$5)</f>
        <v/>
      </c>
      <c r="H73">
        <f>IF(C73="","",AVERAGE(C70:C73)*$N$5)</f>
        <v/>
      </c>
      <c r="I73">
        <f>IF(C73="","",AVERAGE(C58:C73)*$N$5)</f>
        <v/>
      </c>
      <c r="J73">
        <f>IF(C73="","",J72+$N$6*(C73*$N$5-J72))</f>
        <v/>
      </c>
      <c r="K73">
        <f>IF(B73="","",B73-B72)</f>
        <v/>
      </c>
    </row>
    <row r="74">
      <c r="G74">
        <f>IF(C74="","",C74*$N$5)</f>
        <v/>
      </c>
      <c r="H74">
        <f>IF(C74="","",AVERAGE(C71:C74)*$N$5)</f>
        <v/>
      </c>
      <c r="I74">
        <f>IF(C74="","",AVERAGE(C59:C74)*$N$5)</f>
        <v/>
      </c>
      <c r="J74">
        <f>IF(C74="","",J73+$N$6*(C74*$N$5-J73))</f>
        <v/>
      </c>
      <c r="K74">
        <f>IF(B74="","",B74-B73)</f>
        <v/>
      </c>
    </row>
    <row r="75">
      <c r="G75">
        <f>IF(C75="","",C75*$N$5)</f>
        <v/>
      </c>
      <c r="H75">
        <f>IF(C75="","",AVERAGE(C72:C75)*$N$5)</f>
        <v/>
      </c>
      <c r="I75">
        <f>IF(C75="","",AVERAGE(C60:C75)*$N$5)</f>
        <v/>
      </c>
      <c r="J75">
        <f>IF(C75="","",J74+$N$6*(C75*$N$5-J74))</f>
        <v/>
      </c>
      <c r="K75">
        <f>IF(B75="","",B75-B74)</f>
        <v/>
      </c>
    </row>
    <row r="76">
      <c r="G76">
        <f>IF(C76="","",C76*$N$5)</f>
        <v/>
      </c>
      <c r="H76">
        <f>IF(C76="","",AVERAGE(C73:C76)*$N$5)</f>
        <v/>
      </c>
      <c r="I76">
        <f>IF(C76="","",AVERAGE(C61:C76)*$N$5)</f>
        <v/>
      </c>
      <c r="J76">
        <f>IF(C76="","",J75+$N$6*(C76*$N$5-J75))</f>
        <v/>
      </c>
      <c r="K76">
        <f>IF(B76="","",B76-B75)</f>
        <v/>
      </c>
    </row>
    <row r="77">
      <c r="G77">
        <f>IF(C77="","",C77*$N$5)</f>
        <v/>
      </c>
      <c r="H77">
        <f>IF(C77="","",AVERAGE(C74:C77)*$N$5)</f>
        <v/>
      </c>
      <c r="I77">
        <f>IF(C77="","",AVERAGE(C62:C77)*$N$5)</f>
        <v/>
      </c>
      <c r="J77">
        <f>IF(C77="","",J76+$N$6*(C77*$N$5-J76))</f>
        <v/>
      </c>
      <c r="K77">
        <f>IF(B77="","",B77-B76)</f>
        <v/>
      </c>
    </row>
    <row r="78">
      <c r="G78">
        <f>IF(C78="","",C78*$N$5)</f>
        <v/>
      </c>
      <c r="H78">
        <f>IF(C78="","",AVERAGE(C75:C78)*$N$5)</f>
        <v/>
      </c>
      <c r="I78">
        <f>IF(C78="","",AVERAGE(C63:C78)*$N$5)</f>
        <v/>
      </c>
      <c r="J78">
        <f>IF(C78="","",J77+$N$6*(C78*$N$5-J77))</f>
        <v/>
      </c>
      <c r="K78">
        <f>IF(B78="","",B78-B77)</f>
        <v/>
      </c>
    </row>
    <row r="79">
      <c r="G79">
        <f>IF(C79="","",C79*$N$5)</f>
        <v/>
      </c>
      <c r="H79">
        <f>IF(C79="","",AVERAGE(C76:C79)*$N$5)</f>
        <v/>
      </c>
      <c r="I79">
        <f>IF(C79="","",AVERAGE(C64:C79)*$N$5)</f>
        <v/>
      </c>
      <c r="J79">
        <f>IF(C79="","",J78+$N$6*(C79*$N$5-J78))</f>
        <v/>
      </c>
      <c r="K79">
        <f>IF(B79="","",B79-B78)</f>
        <v/>
      </c>
    </row>
    <row r="80">
      <c r="G80">
        <f>IF(C80="","",C80*$N$5)</f>
        <v/>
      </c>
      <c r="H80">
        <f>IF(C80="","",AVERAGE(C77:C80)*$N$5)</f>
        <v/>
      </c>
      <c r="I80">
        <f>IF(C80="","",AVERAGE(C65:C80)*$N$5)</f>
        <v/>
      </c>
      <c r="J80">
        <f>IF(C80="","",J79+$N$6*(C80*$N$5-J79))</f>
        <v/>
      </c>
      <c r="K80">
        <f>IF(B80="","",B80-B79)</f>
        <v/>
      </c>
    </row>
    <row r="81">
      <c r="G81">
        <f>IF(C81="","",C81*$N$5)</f>
        <v/>
      </c>
      <c r="H81">
        <f>IF(C81="","",AVERAGE(C78:C81)*$N$5)</f>
        <v/>
      </c>
      <c r="I81">
        <f>IF(C81="","",AVERAGE(C66:C81)*$N$5)</f>
        <v/>
      </c>
      <c r="J81">
        <f>IF(C81="","",J80+$N$6*(C81*$N$5-J80))</f>
        <v/>
      </c>
      <c r="K81">
        <f>IF(B81="","",B81-B80)</f>
        <v/>
      </c>
    </row>
    <row r="82">
      <c r="G82">
        <f>IF(C82="","",C82*$N$5)</f>
        <v/>
      </c>
      <c r="H82">
        <f>IF(C82="","",AVERAGE(C79:C82)*$N$5)</f>
        <v/>
      </c>
      <c r="I82">
        <f>IF(C82="","",AVERAGE(C67:C82)*$N$5)</f>
        <v/>
      </c>
      <c r="J82">
        <f>IF(C82="","",J81+$N$6*(C82*$N$5-J81))</f>
        <v/>
      </c>
      <c r="K82">
        <f>IF(B82="","",B82-B81)</f>
        <v/>
      </c>
    </row>
    <row r="83">
      <c r="G83">
        <f>IF(C83="","",C83*$N$5)</f>
        <v/>
      </c>
      <c r="H83">
        <f>IF(C83="","",AVERAGE(C80:C83)*$N$5)</f>
        <v/>
      </c>
      <c r="I83">
        <f>IF(C83="","",AVERAGE(C68:C83)*$N$5)</f>
        <v/>
      </c>
      <c r="J83">
        <f>IF(C83="","",J82+$N$6*(C83*$N$5-J82))</f>
        <v/>
      </c>
      <c r="K83">
        <f>IF(B83="","",B83-B82)</f>
        <v/>
      </c>
    </row>
    <row r="84">
      <c r="G84">
        <f>IF(C84="","",C84*$N$5)</f>
        <v/>
      </c>
      <c r="H84">
        <f>IF(C84="","",AVERAGE(C81:C84)*$N$5)</f>
        <v/>
      </c>
      <c r="I84">
        <f>IF(C84="","",AVERAGE(C69:C84)*$N$5)</f>
        <v/>
      </c>
      <c r="J84">
        <f>IF(C84="","",J83+$N$6*(C84*$N$5-J83))</f>
        <v/>
      </c>
      <c r="K84">
        <f>IF(B84="","",B84-B83)</f>
        <v/>
      </c>
    </row>
    <row r="85">
      <c r="G85">
        <f>IF(C85="","",C85*$N$5)</f>
        <v/>
      </c>
      <c r="H85">
        <f>IF(C85="","",AVERAGE(C82:C85)*$N$5)</f>
        <v/>
      </c>
      <c r="I85">
        <f>IF(C85="","",AVERAGE(C70:C85)*$N$5)</f>
        <v/>
      </c>
      <c r="J85">
        <f>IF(C85="","",J84+$N$6*(C85*$N$5-J84))</f>
        <v/>
      </c>
      <c r="K85">
        <f>IF(B85="","",B85-B84)</f>
        <v/>
      </c>
    </row>
    <row r="86">
      <c r="G86">
        <f>IF(C86="","",C86*$N$5)</f>
        <v/>
      </c>
      <c r="H86">
        <f>IF(C86="","",AVERAGE(C83:C86)*$N$5)</f>
        <v/>
      </c>
      <c r="I86">
        <f>IF(C86="","",AVERAGE(C71:C86)*$N$5)</f>
        <v/>
      </c>
      <c r="J86">
        <f>IF(C86="","",J85+$N$6*(C86*$N$5-J85))</f>
        <v/>
      </c>
      <c r="K86">
        <f>IF(B86="","",B86-B85)</f>
        <v/>
      </c>
    </row>
    <row r="87">
      <c r="G87">
        <f>IF(C87="","",C87*$N$5)</f>
        <v/>
      </c>
      <c r="H87">
        <f>IF(C87="","",AVERAGE(C84:C87)*$N$5)</f>
        <v/>
      </c>
      <c r="I87">
        <f>IF(C87="","",AVERAGE(C72:C87)*$N$5)</f>
        <v/>
      </c>
      <c r="J87">
        <f>IF(C87="","",J86+$N$6*(C87*$N$5-J86))</f>
        <v/>
      </c>
      <c r="K87">
        <f>IF(B87="","",B87-B86)</f>
        <v/>
      </c>
    </row>
    <row r="88">
      <c r="G88">
        <f>IF(C88="","",C88*$N$5)</f>
        <v/>
      </c>
      <c r="H88">
        <f>IF(C88="","",AVERAGE(C85:C88)*$N$5)</f>
        <v/>
      </c>
      <c r="I88">
        <f>IF(C88="","",AVERAGE(C73:C88)*$N$5)</f>
        <v/>
      </c>
      <c r="J88">
        <f>IF(C88="","",J87+$N$6*(C88*$N$5-J87))</f>
        <v/>
      </c>
      <c r="K88">
        <f>IF(B88="","",B88-B87)</f>
        <v/>
      </c>
    </row>
    <row r="89">
      <c r="G89">
        <f>IF(C89="","",C89*$N$5)</f>
        <v/>
      </c>
      <c r="H89">
        <f>IF(C89="","",AVERAGE(C86:C89)*$N$5)</f>
        <v/>
      </c>
      <c r="I89">
        <f>IF(C89="","",AVERAGE(C74:C89)*$N$5)</f>
        <v/>
      </c>
      <c r="J89">
        <f>IF(C89="","",J88+$N$6*(C89*$N$5-J88))</f>
        <v/>
      </c>
      <c r="K89">
        <f>IF(B89="","",B89-B88)</f>
        <v/>
      </c>
    </row>
    <row r="90">
      <c r="G90">
        <f>IF(C90="","",C90*$N$5)</f>
        <v/>
      </c>
      <c r="H90">
        <f>IF(C90="","",AVERAGE(C87:C90)*$N$5)</f>
        <v/>
      </c>
      <c r="I90">
        <f>IF(C90="","",AVERAGE(C75:C90)*$N$5)</f>
        <v/>
      </c>
      <c r="J90">
        <f>IF(C90="","",J89+$N$6*(C90*$N$5-J89))</f>
        <v/>
      </c>
      <c r="K90">
        <f>IF(B90="","",B90-B89)</f>
        <v/>
      </c>
    </row>
    <row r="91">
      <c r="G91">
        <f>IF(C91="","",C91*$N$5)</f>
        <v/>
      </c>
      <c r="H91">
        <f>IF(C91="","",AVERAGE(C88:C91)*$N$5)</f>
        <v/>
      </c>
      <c r="I91">
        <f>IF(C91="","",AVERAGE(C76:C91)*$N$5)</f>
        <v/>
      </c>
      <c r="J91">
        <f>IF(C91="","",J90+$N$6*(C91*$N$5-J90))</f>
        <v/>
      </c>
      <c r="K91">
        <f>IF(B91="","",B91-B90)</f>
        <v/>
      </c>
    </row>
    <row r="92">
      <c r="G92">
        <f>IF(C92="","",C92*$N$5)</f>
        <v/>
      </c>
      <c r="H92">
        <f>IF(C92="","",AVERAGE(C89:C92)*$N$5)</f>
        <v/>
      </c>
      <c r="I92">
        <f>IF(C92="","",AVERAGE(C77:C92)*$N$5)</f>
        <v/>
      </c>
      <c r="J92">
        <f>IF(C92="","",J91+$N$6*(C92*$N$5-J91))</f>
        <v/>
      </c>
      <c r="K92">
        <f>IF(B92="","",B92-B91)</f>
        <v/>
      </c>
    </row>
    <row r="93">
      <c r="G93">
        <f>IF(C93="","",C93*$N$5)</f>
        <v/>
      </c>
      <c r="H93">
        <f>IF(C93="","",AVERAGE(C90:C93)*$N$5)</f>
        <v/>
      </c>
      <c r="I93">
        <f>IF(C93="","",AVERAGE(C78:C93)*$N$5)</f>
        <v/>
      </c>
      <c r="J93">
        <f>IF(C93="","",J92+$N$6*(C93*$N$5-J92))</f>
        <v/>
      </c>
      <c r="K93">
        <f>IF(B93="","",B93-B92)</f>
        <v/>
      </c>
    </row>
    <row r="94">
      <c r="G94">
        <f>IF(C94="","",C94*$N$5)</f>
        <v/>
      </c>
      <c r="H94">
        <f>IF(C94="","",AVERAGE(C91:C94)*$N$5)</f>
        <v/>
      </c>
      <c r="I94">
        <f>IF(C94="","",AVERAGE(C79:C94)*$N$5)</f>
        <v/>
      </c>
      <c r="J94">
        <f>IF(C94="","",J93+$N$6*(C94*$N$5-J93))</f>
        <v/>
      </c>
      <c r="K94">
        <f>IF(B94="","",B94-B93)</f>
        <v/>
      </c>
    </row>
    <row r="95">
      <c r="G95">
        <f>IF(C95="","",C95*$N$5)</f>
        <v/>
      </c>
      <c r="H95">
        <f>IF(C95="","",AVERAGE(C92:C95)*$N$5)</f>
        <v/>
      </c>
      <c r="I95">
        <f>IF(C95="","",AVERAGE(C80:C95)*$N$5)</f>
        <v/>
      </c>
      <c r="J95">
        <f>IF(C95="","",J94+$N$6*(C95*$N$5-J94))</f>
        <v/>
      </c>
      <c r="K95">
        <f>IF(B95="","",B95-B94)</f>
        <v/>
      </c>
    </row>
    <row r="96">
      <c r="G96">
        <f>IF(C96="","",C96*$N$5)</f>
        <v/>
      </c>
      <c r="H96">
        <f>IF(C96="","",AVERAGE(C93:C96)*$N$5)</f>
        <v/>
      </c>
      <c r="I96">
        <f>IF(C96="","",AVERAGE(C81:C96)*$N$5)</f>
        <v/>
      </c>
      <c r="J96">
        <f>IF(C96="","",J95+$N$6*(C96*$N$5-J95))</f>
        <v/>
      </c>
      <c r="K96">
        <f>IF(B96="","",B96-B95)</f>
        <v/>
      </c>
    </row>
    <row r="97">
      <c r="G97">
        <f>IF(C97="","",C97*$N$5)</f>
        <v/>
      </c>
      <c r="H97">
        <f>IF(C97="","",AVERAGE(C94:C97)*$N$5)</f>
        <v/>
      </c>
      <c r="I97">
        <f>IF(C97="","",AVERAGE(C82:C97)*$N$5)</f>
        <v/>
      </c>
      <c r="J97">
        <f>IF(C97="","",J96+$N$6*(C97*$N$5-J96))</f>
        <v/>
      </c>
      <c r="K97">
        <f>IF(B97="","",B97-B96)</f>
        <v/>
      </c>
    </row>
    <row r="98">
      <c r="G98">
        <f>IF(C98="","",C98*$N$5)</f>
        <v/>
      </c>
      <c r="H98">
        <f>IF(C98="","",AVERAGE(C95:C98)*$N$5)</f>
        <v/>
      </c>
      <c r="I98">
        <f>IF(C98="","",AVERAGE(C83:C98)*$N$5)</f>
        <v/>
      </c>
      <c r="J98">
        <f>IF(C98="","",J97+$N$6*(C98*$N$5-J97))</f>
        <v/>
      </c>
      <c r="K98">
        <f>IF(B98="","",B98-B97)</f>
        <v/>
      </c>
    </row>
    <row r="99">
      <c r="G99">
        <f>IF(C99="","",C99*$N$5)</f>
        <v/>
      </c>
      <c r="H99">
        <f>IF(C99="","",AVERAGE(C96:C99)*$N$5)</f>
        <v/>
      </c>
      <c r="I99">
        <f>IF(C99="","",AVERAGE(C84:C99)*$N$5)</f>
        <v/>
      </c>
      <c r="J99">
        <f>IF(C99="","",J98+$N$6*(C99*$N$5-J98))</f>
        <v/>
      </c>
      <c r="K99">
        <f>IF(B99="","",B99-B98)</f>
        <v/>
      </c>
    </row>
    <row r="100">
      <c r="G100">
        <f>IF(C100="","",C100*$N$5)</f>
        <v/>
      </c>
      <c r="H100">
        <f>IF(C100="","",AVERAGE(C97:C100)*$N$5)</f>
        <v/>
      </c>
      <c r="I100">
        <f>IF(C100="","",AVERAGE(C85:C100)*$N$5)</f>
        <v/>
      </c>
      <c r="J100">
        <f>IF(C100="","",J99+$N$6*(C100*$N$5-J99))</f>
        <v/>
      </c>
      <c r="K100">
        <f>IF(B100="","",B100-B99)</f>
        <v/>
      </c>
    </row>
    <row r="101">
      <c r="G101">
        <f>IF(C101="","",C101*$N$5)</f>
        <v/>
      </c>
      <c r="H101">
        <f>IF(C101="","",AVERAGE(C98:C101)*$N$5)</f>
        <v/>
      </c>
      <c r="I101">
        <f>IF(C101="","",AVERAGE(C86:C101)*$N$5)</f>
        <v/>
      </c>
      <c r="J101">
        <f>IF(C101="","",J100+$N$6*(C101*$N$5-J100))</f>
        <v/>
      </c>
      <c r="K101">
        <f>IF(B101="","",B101-B100)</f>
        <v/>
      </c>
    </row>
    <row r="102">
      <c r="G102">
        <f>IF(C102="","",C102*$N$5)</f>
        <v/>
      </c>
      <c r="H102">
        <f>IF(C102="","",AVERAGE(C99:C102)*$N$5)</f>
        <v/>
      </c>
      <c r="I102">
        <f>IF(C102="","",AVERAGE(C87:C102)*$N$5)</f>
        <v/>
      </c>
      <c r="J102">
        <f>IF(C102="","",J101+$N$6*(C102*$N$5-J101))</f>
        <v/>
      </c>
      <c r="K102">
        <f>IF(B102="","",B102-B101)</f>
        <v/>
      </c>
    </row>
    <row r="103">
      <c r="G103">
        <f>IF(C103="","",C103*$N$5)</f>
        <v/>
      </c>
      <c r="H103">
        <f>IF(C103="","",AVERAGE(C100:C103)*$N$5)</f>
        <v/>
      </c>
      <c r="I103">
        <f>IF(C103="","",AVERAGE(C88:C103)*$N$5)</f>
        <v/>
      </c>
      <c r="J103">
        <f>IF(C103="","",J102+$N$6*(C103*$N$5-J102))</f>
        <v/>
      </c>
      <c r="K103">
        <f>IF(B103="","",B103-B102)</f>
        <v/>
      </c>
    </row>
    <row r="104">
      <c r="G104">
        <f>IF(C104="","",C104*$N$5)</f>
        <v/>
      </c>
      <c r="H104">
        <f>IF(C104="","",AVERAGE(C101:C104)*$N$5)</f>
        <v/>
      </c>
      <c r="I104">
        <f>IF(C104="","",AVERAGE(C89:C104)*$N$5)</f>
        <v/>
      </c>
      <c r="J104">
        <f>IF(C104="","",J103+$N$6*(C104*$N$5-J103))</f>
        <v/>
      </c>
      <c r="K104">
        <f>IF(B104="","",B104-B103)</f>
        <v/>
      </c>
    </row>
    <row r="105">
      <c r="G105">
        <f>IF(C105="","",C105*$N$5)</f>
        <v/>
      </c>
      <c r="H105">
        <f>IF(C105="","",AVERAGE(C102:C105)*$N$5)</f>
        <v/>
      </c>
      <c r="I105">
        <f>IF(C105="","",AVERAGE(C90:C105)*$N$5)</f>
        <v/>
      </c>
      <c r="J105">
        <f>IF(C105="","",J104+$N$6*(C105*$N$5-J104))</f>
        <v/>
      </c>
      <c r="K105">
        <f>IF(B105="","",B105-B104)</f>
        <v/>
      </c>
    </row>
    <row r="106">
      <c r="G106">
        <f>IF(C106="","",C106*$N$5)</f>
        <v/>
      </c>
      <c r="H106">
        <f>IF(C106="","",AVERAGE(C103:C106)*$N$5)</f>
        <v/>
      </c>
      <c r="I106">
        <f>IF(C106="","",AVERAGE(C91:C106)*$N$5)</f>
        <v/>
      </c>
      <c r="J106">
        <f>IF(C106="","",J105+$N$6*(C106*$N$5-J105))</f>
        <v/>
      </c>
      <c r="K106">
        <f>IF(B106="","",B106-B105)</f>
        <v/>
      </c>
    </row>
    <row r="107">
      <c r="G107">
        <f>IF(C107="","",C107*$N$5)</f>
        <v/>
      </c>
      <c r="H107">
        <f>IF(C107="","",AVERAGE(C104:C107)*$N$5)</f>
        <v/>
      </c>
      <c r="I107">
        <f>IF(C107="","",AVERAGE(C92:C107)*$N$5)</f>
        <v/>
      </c>
      <c r="J107">
        <f>IF(C107="","",J106+$N$6*(C107*$N$5-J106))</f>
        <v/>
      </c>
      <c r="K107">
        <f>IF(B107="","",B107-B106)</f>
        <v/>
      </c>
    </row>
    <row r="108">
      <c r="G108">
        <f>IF(C108="","",C108*$N$5)</f>
        <v/>
      </c>
      <c r="H108">
        <f>IF(C108="","",AVERAGE(C105:C108)*$N$5)</f>
        <v/>
      </c>
      <c r="I108">
        <f>IF(C108="","",AVERAGE(C93:C108)*$N$5)</f>
        <v/>
      </c>
      <c r="J108">
        <f>IF(C108="","",J107+$N$6*(C108*$N$5-J107))</f>
        <v/>
      </c>
      <c r="K108">
        <f>IF(B108="","",B108-B107)</f>
        <v/>
      </c>
    </row>
    <row r="109">
      <c r="G109">
        <f>IF(C109="","",C109*$N$5)</f>
        <v/>
      </c>
      <c r="H109">
        <f>IF(C109="","",AVERAGE(C106:C109)*$N$5)</f>
        <v/>
      </c>
      <c r="I109">
        <f>IF(C109="","",AVERAGE(C94:C109)*$N$5)</f>
        <v/>
      </c>
      <c r="J109">
        <f>IF(C109="","",J108+$N$6*(C109*$N$5-J108))</f>
        <v/>
      </c>
      <c r="K109">
        <f>IF(B109="","",B109-B108)</f>
        <v/>
      </c>
    </row>
    <row r="110">
      <c r="G110">
        <f>IF(C110="","",C110*$N$5)</f>
        <v/>
      </c>
      <c r="H110">
        <f>IF(C110="","",AVERAGE(C107:C110)*$N$5)</f>
        <v/>
      </c>
      <c r="I110">
        <f>IF(C110="","",AVERAGE(C95:C110)*$N$5)</f>
        <v/>
      </c>
      <c r="J110">
        <f>IF(C110="","",J109+$N$6*(C110*$N$5-J109))</f>
        <v/>
      </c>
      <c r="K110">
        <f>IF(B110="","",B110-B109)</f>
        <v/>
      </c>
    </row>
    <row r="111">
      <c r="G111">
        <f>IF(C111="","",C111*$N$5)</f>
        <v/>
      </c>
      <c r="H111">
        <f>IF(C111="","",AVERAGE(C108:C111)*$N$5)</f>
        <v/>
      </c>
      <c r="I111">
        <f>IF(C111="","",AVERAGE(C96:C111)*$N$5)</f>
        <v/>
      </c>
      <c r="J111">
        <f>IF(C111="","",J110+$N$6*(C111*$N$5-J110))</f>
        <v/>
      </c>
      <c r="K111">
        <f>IF(B111="","",B111-B110)</f>
        <v/>
      </c>
    </row>
    <row r="112">
      <c r="G112">
        <f>IF(C112="","",C112*$N$5)</f>
        <v/>
      </c>
      <c r="H112">
        <f>IF(C112="","",AVERAGE(C109:C112)*$N$5)</f>
        <v/>
      </c>
      <c r="I112">
        <f>IF(C112="","",AVERAGE(C97:C112)*$N$5)</f>
        <v/>
      </c>
      <c r="J112">
        <f>IF(C112="","",J111+$N$6*(C112*$N$5-J111))</f>
        <v/>
      </c>
      <c r="K112">
        <f>IF(B112="","",B112-B111)</f>
        <v/>
      </c>
    </row>
    <row r="113">
      <c r="G113">
        <f>IF(C113="","",C113*$N$5)</f>
        <v/>
      </c>
      <c r="H113">
        <f>IF(C113="","",AVERAGE(C110:C113)*$N$5)</f>
        <v/>
      </c>
      <c r="I113">
        <f>IF(C113="","",AVERAGE(C98:C113)*$N$5)</f>
        <v/>
      </c>
      <c r="J113">
        <f>IF(C113="","",J112+$N$6*(C113*$N$5-J112))</f>
        <v/>
      </c>
      <c r="K113">
        <f>IF(B113="","",B113-B112)</f>
        <v/>
      </c>
    </row>
    <row r="114">
      <c r="G114">
        <f>IF(C114="","",C114*$N$5)</f>
        <v/>
      </c>
      <c r="H114">
        <f>IF(C114="","",AVERAGE(C111:C114)*$N$5)</f>
        <v/>
      </c>
      <c r="I114">
        <f>IF(C114="","",AVERAGE(C99:C114)*$N$5)</f>
        <v/>
      </c>
      <c r="J114">
        <f>IF(C114="","",J113+$N$6*(C114*$N$5-J113))</f>
        <v/>
      </c>
      <c r="K114">
        <f>IF(B114="","",B114-B113)</f>
        <v/>
      </c>
    </row>
    <row r="115">
      <c r="G115">
        <f>IF(C115="","",C115*$N$5)</f>
        <v/>
      </c>
      <c r="H115">
        <f>IF(C115="","",AVERAGE(C112:C115)*$N$5)</f>
        <v/>
      </c>
      <c r="I115">
        <f>IF(C115="","",AVERAGE(C100:C115)*$N$5)</f>
        <v/>
      </c>
      <c r="J115">
        <f>IF(C115="","",J114+$N$6*(C115*$N$5-J114))</f>
        <v/>
      </c>
      <c r="K115">
        <f>IF(B115="","",B115-B114)</f>
        <v/>
      </c>
    </row>
    <row r="116">
      <c r="G116">
        <f>IF(C116="","",C116*$N$5)</f>
        <v/>
      </c>
      <c r="H116">
        <f>IF(C116="","",AVERAGE(C113:C116)*$N$5)</f>
        <v/>
      </c>
      <c r="I116">
        <f>IF(C116="","",AVERAGE(C101:C116)*$N$5)</f>
        <v/>
      </c>
      <c r="J116">
        <f>IF(C116="","",J115+$N$6*(C116*$N$5-J115))</f>
        <v/>
      </c>
      <c r="K116">
        <f>IF(B116="","",B116-B115)</f>
        <v/>
      </c>
    </row>
    <row r="117">
      <c r="G117">
        <f>IF(C117="","",C117*$N$5)</f>
        <v/>
      </c>
      <c r="H117">
        <f>IF(C117="","",AVERAGE(C114:C117)*$N$5)</f>
        <v/>
      </c>
      <c r="I117">
        <f>IF(C117="","",AVERAGE(C102:C117)*$N$5)</f>
        <v/>
      </c>
      <c r="J117">
        <f>IF(C117="","",J116+$N$6*(C117*$N$5-J116))</f>
        <v/>
      </c>
      <c r="K117">
        <f>IF(B117="","",B117-B116)</f>
        <v/>
      </c>
    </row>
    <row r="118">
      <c r="G118">
        <f>IF(C118="","",C118*$N$5)</f>
        <v/>
      </c>
      <c r="H118">
        <f>IF(C118="","",AVERAGE(C115:C118)*$N$5)</f>
        <v/>
      </c>
      <c r="I118">
        <f>IF(C118="","",AVERAGE(C103:C118)*$N$5)</f>
        <v/>
      </c>
      <c r="J118">
        <f>IF(C118="","",J117+$N$6*(C118*$N$5-J117))</f>
        <v/>
      </c>
      <c r="K118">
        <f>IF(B118="","",B118-B117)</f>
        <v/>
      </c>
    </row>
    <row r="119">
      <c r="G119">
        <f>IF(C119="","",C119*$N$5)</f>
        <v/>
      </c>
      <c r="H119">
        <f>IF(C119="","",AVERAGE(C116:C119)*$N$5)</f>
        <v/>
      </c>
      <c r="I119">
        <f>IF(C119="","",AVERAGE(C104:C119)*$N$5)</f>
        <v/>
      </c>
      <c r="J119">
        <f>IF(C119="","",J118+$N$6*(C119*$N$5-J118))</f>
        <v/>
      </c>
      <c r="K119">
        <f>IF(B119="","",B119-B118)</f>
        <v/>
      </c>
    </row>
    <row r="120">
      <c r="G120">
        <f>IF(C120="","",C120*$N$5)</f>
        <v/>
      </c>
      <c r="H120">
        <f>IF(C120="","",AVERAGE(C117:C120)*$N$5)</f>
        <v/>
      </c>
      <c r="I120">
        <f>IF(C120="","",AVERAGE(C105:C120)*$N$5)</f>
        <v/>
      </c>
      <c r="J120">
        <f>IF(C120="","",J119+$N$6*(C120*$N$5-J119))</f>
        <v/>
      </c>
      <c r="K120">
        <f>IF(B120="","",B120-B119)</f>
        <v/>
      </c>
    </row>
    <row r="121">
      <c r="G121">
        <f>IF(C121="","",C121*$N$5)</f>
        <v/>
      </c>
      <c r="H121">
        <f>IF(C121="","",AVERAGE(C118:C121)*$N$5)</f>
        <v/>
      </c>
      <c r="I121">
        <f>IF(C121="","",AVERAGE(C106:C121)*$N$5)</f>
        <v/>
      </c>
      <c r="J121">
        <f>IF(C121="","",J120+$N$6*(C121*$N$5-J120))</f>
        <v/>
      </c>
      <c r="K121">
        <f>IF(B121="","",B121-B120)</f>
        <v/>
      </c>
    </row>
    <row r="122">
      <c r="G122">
        <f>IF(C122="","",C122*$N$5)</f>
        <v/>
      </c>
      <c r="H122">
        <f>IF(C122="","",AVERAGE(C119:C122)*$N$5)</f>
        <v/>
      </c>
      <c r="I122">
        <f>IF(C122="","",AVERAGE(C107:C122)*$N$5)</f>
        <v/>
      </c>
      <c r="J122">
        <f>IF(C122="","",J121+$N$6*(C122*$N$5-J121))</f>
        <v/>
      </c>
      <c r="K122">
        <f>IF(B122="","",B122-B121)</f>
        <v/>
      </c>
    </row>
    <row r="123">
      <c r="G123">
        <f>IF(C123="","",C123*$N$5)</f>
        <v/>
      </c>
      <c r="H123">
        <f>IF(C123="","",AVERAGE(C120:C123)*$N$5)</f>
        <v/>
      </c>
      <c r="I123">
        <f>IF(C123="","",AVERAGE(C108:C123)*$N$5)</f>
        <v/>
      </c>
      <c r="J123">
        <f>IF(C123="","",J122+$N$6*(C123*$N$5-J122))</f>
        <v/>
      </c>
      <c r="K123">
        <f>IF(B123="","",B123-B122)</f>
        <v/>
      </c>
    </row>
    <row r="124">
      <c r="G124">
        <f>IF(C124="","",C124*$N$5)</f>
        <v/>
      </c>
      <c r="H124">
        <f>IF(C124="","",AVERAGE(C121:C124)*$N$5)</f>
        <v/>
      </c>
      <c r="I124">
        <f>IF(C124="","",AVERAGE(C109:C124)*$N$5)</f>
        <v/>
      </c>
      <c r="J124">
        <f>IF(C124="","",J123+$N$6*(C124*$N$5-J123))</f>
        <v/>
      </c>
      <c r="K124">
        <f>IF(B124="","",B124-B123)</f>
        <v/>
      </c>
    </row>
    <row r="125">
      <c r="G125">
        <f>IF(C125="","",C125*$N$5)</f>
        <v/>
      </c>
      <c r="H125">
        <f>IF(C125="","",AVERAGE(C122:C125)*$N$5)</f>
        <v/>
      </c>
      <c r="I125">
        <f>IF(C125="","",AVERAGE(C110:C125)*$N$5)</f>
        <v/>
      </c>
      <c r="J125">
        <f>IF(C125="","",J124+$N$6*(C125*$N$5-J124))</f>
        <v/>
      </c>
      <c r="K125">
        <f>IF(B125="","",B125-B124)</f>
        <v/>
      </c>
    </row>
    <row r="126">
      <c r="G126">
        <f>IF(C126="","",C126*$N$5)</f>
        <v/>
      </c>
      <c r="H126">
        <f>IF(C126="","",AVERAGE(C123:C126)*$N$5)</f>
        <v/>
      </c>
      <c r="I126">
        <f>IF(C126="","",AVERAGE(C111:C126)*$N$5)</f>
        <v/>
      </c>
      <c r="J126">
        <f>IF(C126="","",J125+$N$6*(C126*$N$5-J125))</f>
        <v/>
      </c>
      <c r="K126">
        <f>IF(B126="","",B126-B125)</f>
        <v/>
      </c>
    </row>
    <row r="127">
      <c r="G127">
        <f>IF(C127="","",C127*$N$5)</f>
        <v/>
      </c>
      <c r="H127">
        <f>IF(C127="","",AVERAGE(C124:C127)*$N$5)</f>
        <v/>
      </c>
      <c r="I127">
        <f>IF(C127="","",AVERAGE(C112:C127)*$N$5)</f>
        <v/>
      </c>
      <c r="J127">
        <f>IF(C127="","",J126+$N$6*(C127*$N$5-J126))</f>
        <v/>
      </c>
      <c r="K127">
        <f>IF(B127="","",B127-B126)</f>
        <v/>
      </c>
    </row>
    <row r="128">
      <c r="G128">
        <f>IF(C128="","",C128*$N$5)</f>
        <v/>
      </c>
      <c r="H128">
        <f>IF(C128="","",AVERAGE(C125:C128)*$N$5)</f>
        <v/>
      </c>
      <c r="I128">
        <f>IF(C128="","",AVERAGE(C113:C128)*$N$5)</f>
        <v/>
      </c>
      <c r="J128">
        <f>IF(C128="","",J127+$N$6*(C128*$N$5-J127))</f>
        <v/>
      </c>
      <c r="K128">
        <f>IF(B128="","",B128-B127)</f>
        <v/>
      </c>
    </row>
    <row r="129">
      <c r="G129">
        <f>IF(C129="","",C129*$N$5)</f>
        <v/>
      </c>
      <c r="H129">
        <f>IF(C129="","",AVERAGE(C126:C129)*$N$5)</f>
        <v/>
      </c>
      <c r="I129">
        <f>IF(C129="","",AVERAGE(C114:C129)*$N$5)</f>
        <v/>
      </c>
      <c r="J129">
        <f>IF(C129="","",J128+$N$6*(C129*$N$5-J128))</f>
        <v/>
      </c>
      <c r="K129">
        <f>IF(B129="","",B129-B128)</f>
        <v/>
      </c>
    </row>
    <row r="130">
      <c r="G130">
        <f>IF(C130="","",C130*$N$5)</f>
        <v/>
      </c>
      <c r="H130">
        <f>IF(C130="","",AVERAGE(C127:C130)*$N$5)</f>
        <v/>
      </c>
      <c r="I130">
        <f>IF(C130="","",AVERAGE(C115:C130)*$N$5)</f>
        <v/>
      </c>
      <c r="J130">
        <f>IF(C130="","",J129+$N$6*(C130*$N$5-J129))</f>
        <v/>
      </c>
      <c r="K130">
        <f>IF(B130="","",B130-B129)</f>
        <v/>
      </c>
    </row>
    <row r="131">
      <c r="G131">
        <f>IF(C131="","",C131*$N$5)</f>
        <v/>
      </c>
      <c r="H131">
        <f>IF(C131="","",AVERAGE(C128:C131)*$N$5)</f>
        <v/>
      </c>
      <c r="I131">
        <f>IF(C131="","",AVERAGE(C116:C131)*$N$5)</f>
        <v/>
      </c>
      <c r="J131">
        <f>IF(C131="","",J130+$N$6*(C131*$N$5-J130))</f>
        <v/>
      </c>
      <c r="K131">
        <f>IF(B131="","",B131-B130)</f>
        <v/>
      </c>
    </row>
    <row r="132">
      <c r="G132">
        <f>IF(C132="","",C132*$N$5)</f>
        <v/>
      </c>
      <c r="H132">
        <f>IF(C132="","",AVERAGE(C129:C132)*$N$5)</f>
        <v/>
      </c>
      <c r="I132">
        <f>IF(C132="","",AVERAGE(C117:C132)*$N$5)</f>
        <v/>
      </c>
      <c r="J132">
        <f>IF(C132="","",J131+$N$6*(C132*$N$5-J131))</f>
        <v/>
      </c>
      <c r="K132">
        <f>IF(B132="","",B132-B131)</f>
        <v/>
      </c>
    </row>
    <row r="133">
      <c r="G133">
        <f>IF(C133="","",C133*$N$5)</f>
        <v/>
      </c>
      <c r="H133">
        <f>IF(C133="","",AVERAGE(C130:C133)*$N$5)</f>
        <v/>
      </c>
      <c r="I133">
        <f>IF(C133="","",AVERAGE(C118:C133)*$N$5)</f>
        <v/>
      </c>
      <c r="J133">
        <f>IF(C133="","",J132+$N$6*(C133*$N$5-J132))</f>
        <v/>
      </c>
      <c r="K133">
        <f>IF(B133="","",B133-B132)</f>
        <v/>
      </c>
    </row>
    <row r="134">
      <c r="G134">
        <f>IF(C134="","",C134*$N$5)</f>
        <v/>
      </c>
      <c r="H134">
        <f>IF(C134="","",AVERAGE(C131:C134)*$N$5)</f>
        <v/>
      </c>
      <c r="I134">
        <f>IF(C134="","",AVERAGE(C119:C134)*$N$5)</f>
        <v/>
      </c>
      <c r="J134">
        <f>IF(C134="","",J133+$N$6*(C134*$N$5-J133))</f>
        <v/>
      </c>
      <c r="K134">
        <f>IF(B134="","",B134-B133)</f>
        <v/>
      </c>
    </row>
    <row r="135">
      <c r="G135">
        <f>IF(C135="","",C135*$N$5)</f>
        <v/>
      </c>
      <c r="H135">
        <f>IF(C135="","",AVERAGE(C132:C135)*$N$5)</f>
        <v/>
      </c>
      <c r="I135">
        <f>IF(C135="","",AVERAGE(C120:C135)*$N$5)</f>
        <v/>
      </c>
      <c r="J135">
        <f>IF(C135="","",J134+$N$6*(C135*$N$5-J134))</f>
        <v/>
      </c>
      <c r="K135">
        <f>IF(B135="","",B135-B134)</f>
        <v/>
      </c>
    </row>
    <row r="136">
      <c r="G136">
        <f>IF(C136="","",C136*$N$5)</f>
        <v/>
      </c>
      <c r="H136">
        <f>IF(C136="","",AVERAGE(C133:C136)*$N$5)</f>
        <v/>
      </c>
      <c r="I136">
        <f>IF(C136="","",AVERAGE(C121:C136)*$N$5)</f>
        <v/>
      </c>
      <c r="J136">
        <f>IF(C136="","",J135+$N$6*(C136*$N$5-J135))</f>
        <v/>
      </c>
      <c r="K136">
        <f>IF(B136="","",B136-B135)</f>
        <v/>
      </c>
    </row>
    <row r="137">
      <c r="G137">
        <f>IF(C137="","",C137*$N$5)</f>
        <v/>
      </c>
      <c r="H137">
        <f>IF(C137="","",AVERAGE(C134:C137)*$N$5)</f>
        <v/>
      </c>
      <c r="I137">
        <f>IF(C137="","",AVERAGE(C122:C137)*$N$5)</f>
        <v/>
      </c>
      <c r="J137">
        <f>IF(C137="","",J136+$N$6*(C137*$N$5-J136))</f>
        <v/>
      </c>
      <c r="K137">
        <f>IF(B137="","",B137-B136)</f>
        <v/>
      </c>
    </row>
    <row r="138">
      <c r="G138">
        <f>IF(C138="","",C138*$N$5)</f>
        <v/>
      </c>
      <c r="H138">
        <f>IF(C138="","",AVERAGE(C135:C138)*$N$5)</f>
        <v/>
      </c>
      <c r="I138">
        <f>IF(C138="","",AVERAGE(C123:C138)*$N$5)</f>
        <v/>
      </c>
      <c r="J138">
        <f>IF(C138="","",J137+$N$6*(C138*$N$5-J137))</f>
        <v/>
      </c>
      <c r="K138">
        <f>IF(B138="","",B138-B137)</f>
        <v/>
      </c>
    </row>
    <row r="139">
      <c r="G139">
        <f>IF(C139="","",C139*$N$5)</f>
        <v/>
      </c>
      <c r="H139">
        <f>IF(C139="","",AVERAGE(C136:C139)*$N$5)</f>
        <v/>
      </c>
      <c r="I139">
        <f>IF(C139="","",AVERAGE(C124:C139)*$N$5)</f>
        <v/>
      </c>
      <c r="J139">
        <f>IF(C139="","",J138+$N$6*(C139*$N$5-J138))</f>
        <v/>
      </c>
      <c r="K139">
        <f>IF(B139="","",B139-B138)</f>
        <v/>
      </c>
    </row>
    <row r="140">
      <c r="G140">
        <f>IF(C140="","",C140*$N$5)</f>
        <v/>
      </c>
      <c r="H140">
        <f>IF(C140="","",AVERAGE(C137:C140)*$N$5)</f>
        <v/>
      </c>
      <c r="I140">
        <f>IF(C140="","",AVERAGE(C125:C140)*$N$5)</f>
        <v/>
      </c>
      <c r="J140">
        <f>IF(C140="","",J139+$N$6*(C140*$N$5-J139))</f>
        <v/>
      </c>
      <c r="K140">
        <f>IF(B140="","",B140-B139)</f>
        <v/>
      </c>
    </row>
    <row r="141">
      <c r="G141">
        <f>IF(C141="","",C141*$N$5)</f>
        <v/>
      </c>
      <c r="H141">
        <f>IF(C141="","",AVERAGE(C138:C141)*$N$5)</f>
        <v/>
      </c>
      <c r="I141">
        <f>IF(C141="","",AVERAGE(C126:C141)*$N$5)</f>
        <v/>
      </c>
      <c r="J141">
        <f>IF(C141="","",J140+$N$6*(C141*$N$5-J140))</f>
        <v/>
      </c>
      <c r="K141">
        <f>IF(B141="","",B141-B140)</f>
        <v/>
      </c>
    </row>
    <row r="142">
      <c r="G142">
        <f>IF(C142="","",C142*$N$5)</f>
        <v/>
      </c>
      <c r="H142">
        <f>IF(C142="","",AVERAGE(C139:C142)*$N$5)</f>
        <v/>
      </c>
      <c r="I142">
        <f>IF(C142="","",AVERAGE(C127:C142)*$N$5)</f>
        <v/>
      </c>
      <c r="J142">
        <f>IF(C142="","",J141+$N$6*(C142*$N$5-J141))</f>
        <v/>
      </c>
      <c r="K142">
        <f>IF(B142="","",B142-B141)</f>
        <v/>
      </c>
    </row>
    <row r="143">
      <c r="G143">
        <f>IF(C143="","",C143*$N$5)</f>
        <v/>
      </c>
      <c r="H143">
        <f>IF(C143="","",AVERAGE(C140:C143)*$N$5)</f>
        <v/>
      </c>
      <c r="I143">
        <f>IF(C143="","",AVERAGE(C128:C143)*$N$5)</f>
        <v/>
      </c>
      <c r="J143">
        <f>IF(C143="","",J142+$N$6*(C143*$N$5-J142))</f>
        <v/>
      </c>
      <c r="K143">
        <f>IF(B143="","",B143-B142)</f>
        <v/>
      </c>
    </row>
    <row r="144">
      <c r="G144">
        <f>IF(C144="","",C144*$N$5)</f>
        <v/>
      </c>
      <c r="H144">
        <f>IF(C144="","",AVERAGE(C141:C144)*$N$5)</f>
        <v/>
      </c>
      <c r="I144">
        <f>IF(C144="","",AVERAGE(C129:C144)*$N$5)</f>
        <v/>
      </c>
      <c r="J144">
        <f>IF(C144="","",J143+$N$6*(C144*$N$5-J143))</f>
        <v/>
      </c>
      <c r="K144">
        <f>IF(B144="","",B144-B143)</f>
        <v/>
      </c>
    </row>
    <row r="145">
      <c r="G145">
        <f>IF(C145="","",C145*$N$5)</f>
        <v/>
      </c>
      <c r="H145">
        <f>IF(C145="","",AVERAGE(C142:C145)*$N$5)</f>
        <v/>
      </c>
      <c r="I145">
        <f>IF(C145="","",AVERAGE(C130:C145)*$N$5)</f>
        <v/>
      </c>
      <c r="J145">
        <f>IF(C145="","",J144+$N$6*(C145*$N$5-J144))</f>
        <v/>
      </c>
      <c r="K145">
        <f>IF(B145="","",B145-B144)</f>
        <v/>
      </c>
    </row>
    <row r="146">
      <c r="G146">
        <f>IF(C146="","",C146*$N$5)</f>
        <v/>
      </c>
      <c r="H146">
        <f>IF(C146="","",AVERAGE(C143:C146)*$N$5)</f>
        <v/>
      </c>
      <c r="I146">
        <f>IF(C146="","",AVERAGE(C131:C146)*$N$5)</f>
        <v/>
      </c>
      <c r="J146">
        <f>IF(C146="","",J145+$N$6*(C146*$N$5-J145))</f>
        <v/>
      </c>
      <c r="K146">
        <f>IF(B146="","",B146-B145)</f>
        <v/>
      </c>
    </row>
    <row r="147">
      <c r="G147">
        <f>IF(C147="","",C147*$N$5)</f>
        <v/>
      </c>
      <c r="H147">
        <f>IF(C147="","",AVERAGE(C144:C147)*$N$5)</f>
        <v/>
      </c>
      <c r="I147">
        <f>IF(C147="","",AVERAGE(C132:C147)*$N$5)</f>
        <v/>
      </c>
      <c r="J147">
        <f>IF(C147="","",J146+$N$6*(C147*$N$5-J146))</f>
        <v/>
      </c>
      <c r="K147">
        <f>IF(B147="","",B147-B146)</f>
        <v/>
      </c>
    </row>
    <row r="148">
      <c r="G148">
        <f>IF(C148="","",C148*$N$5)</f>
        <v/>
      </c>
      <c r="H148">
        <f>IF(C148="","",AVERAGE(C145:C148)*$N$5)</f>
        <v/>
      </c>
      <c r="I148">
        <f>IF(C148="","",AVERAGE(C133:C148)*$N$5)</f>
        <v/>
      </c>
      <c r="J148">
        <f>IF(C148="","",J147+$N$6*(C148*$N$5-J147))</f>
        <v/>
      </c>
      <c r="K148">
        <f>IF(B148="","",B148-B147)</f>
        <v/>
      </c>
    </row>
    <row r="149">
      <c r="G149">
        <f>IF(C149="","",C149*$N$5)</f>
        <v/>
      </c>
      <c r="H149">
        <f>IF(C149="","",AVERAGE(C146:C149)*$N$5)</f>
        <v/>
      </c>
      <c r="I149">
        <f>IF(C149="","",AVERAGE(C134:C149)*$N$5)</f>
        <v/>
      </c>
      <c r="J149">
        <f>IF(C149="","",J148+$N$6*(C149*$N$5-J148))</f>
        <v/>
      </c>
      <c r="K149">
        <f>IF(B149="","",B149-B148)</f>
        <v/>
      </c>
    </row>
    <row r="150">
      <c r="G150">
        <f>IF(C150="","",C150*$N$5)</f>
        <v/>
      </c>
      <c r="H150">
        <f>IF(C150="","",AVERAGE(C147:C150)*$N$5)</f>
        <v/>
      </c>
      <c r="I150">
        <f>IF(C150="","",AVERAGE(C135:C150)*$N$5)</f>
        <v/>
      </c>
      <c r="J150">
        <f>IF(C150="","",J149+$N$6*(C150*$N$5-J149))</f>
        <v/>
      </c>
      <c r="K150">
        <f>IF(B150="","",B150-B149)</f>
        <v/>
      </c>
    </row>
    <row r="151">
      <c r="G151">
        <f>IF(C151="","",C151*$N$5)</f>
        <v/>
      </c>
      <c r="H151">
        <f>IF(C151="","",AVERAGE(C148:C151)*$N$5)</f>
        <v/>
      </c>
      <c r="I151">
        <f>IF(C151="","",AVERAGE(C136:C151)*$N$5)</f>
        <v/>
      </c>
      <c r="J151">
        <f>IF(C151="","",J150+$N$6*(C151*$N$5-J150))</f>
        <v/>
      </c>
      <c r="K151">
        <f>IF(B151="","",B151-B150)</f>
        <v/>
      </c>
    </row>
    <row r="152">
      <c r="G152">
        <f>IF(C152="","",C152*$N$5)</f>
        <v/>
      </c>
      <c r="H152">
        <f>IF(C152="","",AVERAGE(C149:C152)*$N$5)</f>
        <v/>
      </c>
      <c r="I152">
        <f>IF(C152="","",AVERAGE(C137:C152)*$N$5)</f>
        <v/>
      </c>
      <c r="J152">
        <f>IF(C152="","",J151+$N$6*(C152*$N$5-J151))</f>
        <v/>
      </c>
      <c r="K152">
        <f>IF(B152="","",B152-B151)</f>
        <v/>
      </c>
    </row>
    <row r="153">
      <c r="G153">
        <f>IF(C153="","",C153*$N$5)</f>
        <v/>
      </c>
      <c r="H153">
        <f>IF(C153="","",AVERAGE(C150:C153)*$N$5)</f>
        <v/>
      </c>
      <c r="I153">
        <f>IF(C153="","",AVERAGE(C138:C153)*$N$5)</f>
        <v/>
      </c>
      <c r="J153">
        <f>IF(C153="","",J152+$N$6*(C153*$N$5-J152))</f>
        <v/>
      </c>
      <c r="K153">
        <f>IF(B153="","",B153-B152)</f>
        <v/>
      </c>
    </row>
    <row r="154">
      <c r="G154">
        <f>IF(C154="","",C154*$N$5)</f>
        <v/>
      </c>
      <c r="H154">
        <f>IF(C154="","",AVERAGE(C151:C154)*$N$5)</f>
        <v/>
      </c>
      <c r="I154">
        <f>IF(C154="","",AVERAGE(C139:C154)*$N$5)</f>
        <v/>
      </c>
      <c r="J154">
        <f>IF(C154="","",J153+$N$6*(C154*$N$5-J153))</f>
        <v/>
      </c>
      <c r="K154">
        <f>IF(B154="","",B154-B153)</f>
        <v/>
      </c>
    </row>
    <row r="155">
      <c r="G155">
        <f>IF(C155="","",C155*$N$5)</f>
        <v/>
      </c>
      <c r="H155">
        <f>IF(C155="","",AVERAGE(C152:C155)*$N$5)</f>
        <v/>
      </c>
      <c r="I155">
        <f>IF(C155="","",AVERAGE(C140:C155)*$N$5)</f>
        <v/>
      </c>
      <c r="J155">
        <f>IF(C155="","",J154+$N$6*(C155*$N$5-J154))</f>
        <v/>
      </c>
      <c r="K155">
        <f>IF(B155="","",B155-B154)</f>
        <v/>
      </c>
    </row>
    <row r="156">
      <c r="G156">
        <f>IF(C156="","",C156*$N$5)</f>
        <v/>
      </c>
      <c r="H156">
        <f>IF(C156="","",AVERAGE(C153:C156)*$N$5)</f>
        <v/>
      </c>
      <c r="I156">
        <f>IF(C156="","",AVERAGE(C141:C156)*$N$5)</f>
        <v/>
      </c>
      <c r="J156">
        <f>IF(C156="","",J155+$N$6*(C156*$N$5-J155))</f>
        <v/>
      </c>
      <c r="K156">
        <f>IF(B156="","",B156-B155)</f>
        <v/>
      </c>
    </row>
    <row r="157">
      <c r="G157">
        <f>IF(C157="","",C157*$N$5)</f>
        <v/>
      </c>
      <c r="H157">
        <f>IF(C157="","",AVERAGE(C154:C157)*$N$5)</f>
        <v/>
      </c>
      <c r="I157">
        <f>IF(C157="","",AVERAGE(C142:C157)*$N$5)</f>
        <v/>
      </c>
      <c r="J157">
        <f>IF(C157="","",J156+$N$6*(C157*$N$5-J156))</f>
        <v/>
      </c>
      <c r="K157">
        <f>IF(B157="","",B157-B156)</f>
        <v/>
      </c>
    </row>
    <row r="158">
      <c r="G158">
        <f>IF(C158="","",C158*$N$5)</f>
        <v/>
      </c>
      <c r="H158">
        <f>IF(C158="","",AVERAGE(C155:C158)*$N$5)</f>
        <v/>
      </c>
      <c r="I158">
        <f>IF(C158="","",AVERAGE(C143:C158)*$N$5)</f>
        <v/>
      </c>
      <c r="J158">
        <f>IF(C158="","",J157+$N$6*(C158*$N$5-J157))</f>
        <v/>
      </c>
      <c r="K158">
        <f>IF(B158="","",B158-B157)</f>
        <v/>
      </c>
    </row>
    <row r="159">
      <c r="G159">
        <f>IF(C159="","",C159*$N$5)</f>
        <v/>
      </c>
      <c r="H159">
        <f>IF(C159="","",AVERAGE(C156:C159)*$N$5)</f>
        <v/>
      </c>
      <c r="I159">
        <f>IF(C159="","",AVERAGE(C144:C159)*$N$5)</f>
        <v/>
      </c>
      <c r="J159">
        <f>IF(C159="","",J158+$N$6*(C159*$N$5-J158))</f>
        <v/>
      </c>
      <c r="K159">
        <f>IF(B159="","",B159-B158)</f>
        <v/>
      </c>
    </row>
    <row r="160">
      <c r="G160">
        <f>IF(C160="","",C160*$N$5)</f>
        <v/>
      </c>
      <c r="H160">
        <f>IF(C160="","",AVERAGE(C157:C160)*$N$5)</f>
        <v/>
      </c>
      <c r="I160">
        <f>IF(C160="","",AVERAGE(C145:C160)*$N$5)</f>
        <v/>
      </c>
      <c r="J160">
        <f>IF(C160="","",J159+$N$6*(C160*$N$5-J159))</f>
        <v/>
      </c>
      <c r="K160">
        <f>IF(B160="","",B160-B159)</f>
        <v/>
      </c>
    </row>
    <row r="161">
      <c r="G161">
        <f>IF(C161="","",C161*$N$5)</f>
        <v/>
      </c>
      <c r="H161">
        <f>IF(C161="","",AVERAGE(C158:C161)*$N$5)</f>
        <v/>
      </c>
      <c r="I161">
        <f>IF(C161="","",AVERAGE(C146:C161)*$N$5)</f>
        <v/>
      </c>
      <c r="J161">
        <f>IF(C161="","",J160+$N$6*(C161*$N$5-J160))</f>
        <v/>
      </c>
      <c r="K161">
        <f>IF(B161="","",B161-B160)</f>
        <v/>
      </c>
    </row>
    <row r="162">
      <c r="G162">
        <f>IF(C162="","",C162*$N$5)</f>
        <v/>
      </c>
      <c r="H162">
        <f>IF(C162="","",AVERAGE(C159:C162)*$N$5)</f>
        <v/>
      </c>
      <c r="I162">
        <f>IF(C162="","",AVERAGE(C147:C162)*$N$5)</f>
        <v/>
      </c>
      <c r="J162">
        <f>IF(C162="","",J161+$N$6*(C162*$N$5-J161))</f>
        <v/>
      </c>
      <c r="K162">
        <f>IF(B162="","",B162-B161)</f>
        <v/>
      </c>
    </row>
    <row r="163">
      <c r="G163">
        <f>IF(C163="","",C163*$N$5)</f>
        <v/>
      </c>
      <c r="H163">
        <f>IF(C163="","",AVERAGE(C160:C163)*$N$5)</f>
        <v/>
      </c>
      <c r="I163">
        <f>IF(C163="","",AVERAGE(C148:C163)*$N$5)</f>
        <v/>
      </c>
      <c r="J163">
        <f>IF(C163="","",J162+$N$6*(C163*$N$5-J162))</f>
        <v/>
      </c>
      <c r="K163">
        <f>IF(B163="","",B163-B162)</f>
        <v/>
      </c>
    </row>
    <row r="164">
      <c r="G164">
        <f>IF(C164="","",C164*$N$5)</f>
        <v/>
      </c>
      <c r="H164">
        <f>IF(C164="","",AVERAGE(C161:C164)*$N$5)</f>
        <v/>
      </c>
      <c r="I164">
        <f>IF(C164="","",AVERAGE(C149:C164)*$N$5)</f>
        <v/>
      </c>
      <c r="J164">
        <f>IF(C164="","",J163+$N$6*(C164*$N$5-J163))</f>
        <v/>
      </c>
      <c r="K164">
        <f>IF(B164="","",B164-B163)</f>
        <v/>
      </c>
    </row>
    <row r="165">
      <c r="G165">
        <f>IF(C165="","",C165*$N$5)</f>
        <v/>
      </c>
      <c r="H165">
        <f>IF(C165="","",AVERAGE(C162:C165)*$N$5)</f>
        <v/>
      </c>
      <c r="I165">
        <f>IF(C165="","",AVERAGE(C150:C165)*$N$5)</f>
        <v/>
      </c>
      <c r="J165">
        <f>IF(C165="","",J164+$N$6*(C165*$N$5-J164))</f>
        <v/>
      </c>
      <c r="K165">
        <f>IF(B165="","",B165-B164)</f>
        <v/>
      </c>
    </row>
    <row r="166">
      <c r="G166">
        <f>IF(C166="","",C166*$N$5)</f>
        <v/>
      </c>
      <c r="H166">
        <f>IF(C166="","",AVERAGE(C163:C166)*$N$5)</f>
        <v/>
      </c>
      <c r="I166">
        <f>IF(C166="","",AVERAGE(C151:C166)*$N$5)</f>
        <v/>
      </c>
      <c r="J166">
        <f>IF(C166="","",J165+$N$6*(C166*$N$5-J165))</f>
        <v/>
      </c>
      <c r="K166">
        <f>IF(B166="","",B166-B165)</f>
        <v/>
      </c>
    </row>
    <row r="167">
      <c r="G167">
        <f>IF(C167="","",C167*$N$5)</f>
        <v/>
      </c>
      <c r="H167">
        <f>IF(C167="","",AVERAGE(C164:C167)*$N$5)</f>
        <v/>
      </c>
      <c r="I167">
        <f>IF(C167="","",AVERAGE(C152:C167)*$N$5)</f>
        <v/>
      </c>
      <c r="J167">
        <f>IF(C167="","",J166+$N$6*(C167*$N$5-J166))</f>
        <v/>
      </c>
      <c r="K167">
        <f>IF(B167="","",B167-B166)</f>
        <v/>
      </c>
    </row>
    <row r="168">
      <c r="G168">
        <f>IF(C168="","",C168*$N$5)</f>
        <v/>
      </c>
      <c r="H168">
        <f>IF(C168="","",AVERAGE(C165:C168)*$N$5)</f>
        <v/>
      </c>
      <c r="I168">
        <f>IF(C168="","",AVERAGE(C153:C168)*$N$5)</f>
        <v/>
      </c>
      <c r="J168">
        <f>IF(C168="","",J167+$N$6*(C168*$N$5-J167))</f>
        <v/>
      </c>
      <c r="K168">
        <f>IF(B168="","",B168-B167)</f>
        <v/>
      </c>
    </row>
    <row r="169">
      <c r="G169">
        <f>IF(C169="","",C169*$N$5)</f>
        <v/>
      </c>
      <c r="H169">
        <f>IF(C169="","",AVERAGE(C166:C169)*$N$5)</f>
        <v/>
      </c>
      <c r="I169">
        <f>IF(C169="","",AVERAGE(C154:C169)*$N$5)</f>
        <v/>
      </c>
      <c r="J169">
        <f>IF(C169="","",J168+$N$6*(C169*$N$5-J168))</f>
        <v/>
      </c>
      <c r="K169">
        <f>IF(B169="","",B169-B168)</f>
        <v/>
      </c>
    </row>
    <row r="170">
      <c r="G170">
        <f>IF(C170="","",C170*$N$5)</f>
        <v/>
      </c>
      <c r="H170">
        <f>IF(C170="","",AVERAGE(C167:C170)*$N$5)</f>
        <v/>
      </c>
      <c r="I170">
        <f>IF(C170="","",AVERAGE(C155:C170)*$N$5)</f>
        <v/>
      </c>
      <c r="J170">
        <f>IF(C170="","",J169+$N$6*(C170*$N$5-J169))</f>
        <v/>
      </c>
      <c r="K170">
        <f>IF(B170="","",B170-B169)</f>
        <v/>
      </c>
    </row>
    <row r="171">
      <c r="G171">
        <f>IF(C171="","",C171*$N$5)</f>
        <v/>
      </c>
      <c r="H171">
        <f>IF(C171="","",AVERAGE(C168:C171)*$N$5)</f>
        <v/>
      </c>
      <c r="I171">
        <f>IF(C171="","",AVERAGE(C156:C171)*$N$5)</f>
        <v/>
      </c>
      <c r="J171">
        <f>IF(C171="","",J170+$N$6*(C171*$N$5-J170))</f>
        <v/>
      </c>
      <c r="K171">
        <f>IF(B171="","",B171-B170)</f>
        <v/>
      </c>
    </row>
    <row r="172">
      <c r="G172">
        <f>IF(C172="","",C172*$N$5)</f>
        <v/>
      </c>
      <c r="H172">
        <f>IF(C172="","",AVERAGE(C169:C172)*$N$5)</f>
        <v/>
      </c>
      <c r="I172">
        <f>IF(C172="","",AVERAGE(C157:C172)*$N$5)</f>
        <v/>
      </c>
      <c r="J172">
        <f>IF(C172="","",J171+$N$6*(C172*$N$5-J171))</f>
        <v/>
      </c>
      <c r="K172">
        <f>IF(B172="","",B172-B171)</f>
        <v/>
      </c>
    </row>
    <row r="173">
      <c r="G173">
        <f>IF(C173="","",C173*$N$5)</f>
        <v/>
      </c>
      <c r="H173">
        <f>IF(C173="","",AVERAGE(C170:C173)*$N$5)</f>
        <v/>
      </c>
      <c r="I173">
        <f>IF(C173="","",AVERAGE(C158:C173)*$N$5)</f>
        <v/>
      </c>
      <c r="J173">
        <f>IF(C173="","",J172+$N$6*(C173*$N$5-J172))</f>
        <v/>
      </c>
      <c r="K173">
        <f>IF(B173="","",B173-B172)</f>
        <v/>
      </c>
    </row>
    <row r="174">
      <c r="G174">
        <f>IF(C174="","",C174*$N$5)</f>
        <v/>
      </c>
      <c r="H174">
        <f>IF(C174="","",AVERAGE(C171:C174)*$N$5)</f>
        <v/>
      </c>
      <c r="I174">
        <f>IF(C174="","",AVERAGE(C159:C174)*$N$5)</f>
        <v/>
      </c>
      <c r="J174">
        <f>IF(C174="","",J173+$N$6*(C174*$N$5-J173))</f>
        <v/>
      </c>
      <c r="K174">
        <f>IF(B174="","",B174-B173)</f>
        <v/>
      </c>
    </row>
    <row r="175">
      <c r="G175">
        <f>IF(C175="","",C175*$N$5)</f>
        <v/>
      </c>
      <c r="H175">
        <f>IF(C175="","",AVERAGE(C172:C175)*$N$5)</f>
        <v/>
      </c>
      <c r="I175">
        <f>IF(C175="","",AVERAGE(C160:C175)*$N$5)</f>
        <v/>
      </c>
      <c r="J175">
        <f>IF(C175="","",J174+$N$6*(C175*$N$5-J174))</f>
        <v/>
      </c>
      <c r="K175">
        <f>IF(B175="","",B175-B174)</f>
        <v/>
      </c>
    </row>
    <row r="176">
      <c r="G176">
        <f>IF(C176="","",C176*$N$5)</f>
        <v/>
      </c>
      <c r="H176">
        <f>IF(C176="","",AVERAGE(C173:C176)*$N$5)</f>
        <v/>
      </c>
      <c r="I176">
        <f>IF(C176="","",AVERAGE(C161:C176)*$N$5)</f>
        <v/>
      </c>
      <c r="J176">
        <f>IF(C176="","",J175+$N$6*(C176*$N$5-J175))</f>
        <v/>
      </c>
      <c r="K176">
        <f>IF(B176="","",B176-B175)</f>
        <v/>
      </c>
    </row>
    <row r="177">
      <c r="G177">
        <f>IF(C177="","",C177*$N$5)</f>
        <v/>
      </c>
      <c r="H177">
        <f>IF(C177="","",AVERAGE(C174:C177)*$N$5)</f>
        <v/>
      </c>
      <c r="I177">
        <f>IF(C177="","",AVERAGE(C162:C177)*$N$5)</f>
        <v/>
      </c>
      <c r="J177">
        <f>IF(C177="","",J176+$N$6*(C177*$N$5-J176))</f>
        <v/>
      </c>
      <c r="K177">
        <f>IF(B177="","",B177-B176)</f>
        <v/>
      </c>
    </row>
    <row r="178">
      <c r="G178">
        <f>IF(C178="","",C178*$N$5)</f>
        <v/>
      </c>
      <c r="H178">
        <f>IF(C178="","",AVERAGE(C175:C178)*$N$5)</f>
        <v/>
      </c>
      <c r="I178">
        <f>IF(C178="","",AVERAGE(C163:C178)*$N$5)</f>
        <v/>
      </c>
      <c r="J178">
        <f>IF(C178="","",J177+$N$6*(C178*$N$5-J177))</f>
        <v/>
      </c>
      <c r="K178">
        <f>IF(B178="","",B178-B177)</f>
        <v/>
      </c>
    </row>
    <row r="179">
      <c r="G179">
        <f>IF(C179="","",C179*$N$5)</f>
        <v/>
      </c>
      <c r="H179">
        <f>IF(C179="","",AVERAGE(C176:C179)*$N$5)</f>
        <v/>
      </c>
      <c r="I179">
        <f>IF(C179="","",AVERAGE(C164:C179)*$N$5)</f>
        <v/>
      </c>
      <c r="J179">
        <f>IF(C179="","",J178+$N$6*(C179*$N$5-J178))</f>
        <v/>
      </c>
      <c r="K179">
        <f>IF(B179="","",B179-B178)</f>
        <v/>
      </c>
    </row>
    <row r="180">
      <c r="G180">
        <f>IF(C180="","",C180*$N$5)</f>
        <v/>
      </c>
      <c r="H180">
        <f>IF(C180="","",AVERAGE(C177:C180)*$N$5)</f>
        <v/>
      </c>
      <c r="I180">
        <f>IF(C180="","",AVERAGE(C165:C180)*$N$5)</f>
        <v/>
      </c>
      <c r="J180">
        <f>IF(C180="","",J179+$N$6*(C180*$N$5-J179))</f>
        <v/>
      </c>
      <c r="K180">
        <f>IF(B180="","",B180-B179)</f>
        <v/>
      </c>
    </row>
    <row r="181">
      <c r="G181">
        <f>IF(C181="","",C181*$N$5)</f>
        <v/>
      </c>
      <c r="H181">
        <f>IF(C181="","",AVERAGE(C178:C181)*$N$5)</f>
        <v/>
      </c>
      <c r="I181">
        <f>IF(C181="","",AVERAGE(C166:C181)*$N$5)</f>
        <v/>
      </c>
      <c r="J181">
        <f>IF(C181="","",J180+$N$6*(C181*$N$5-J180))</f>
        <v/>
      </c>
      <c r="K181">
        <f>IF(B181="","",B181-B180)</f>
        <v/>
      </c>
    </row>
    <row r="182">
      <c r="G182">
        <f>IF(C182="","",C182*$N$5)</f>
        <v/>
      </c>
      <c r="H182">
        <f>IF(C182="","",AVERAGE(C179:C182)*$N$5)</f>
        <v/>
      </c>
      <c r="I182">
        <f>IF(C182="","",AVERAGE(C167:C182)*$N$5)</f>
        <v/>
      </c>
      <c r="J182">
        <f>IF(C182="","",J181+$N$6*(C182*$N$5-J181))</f>
        <v/>
      </c>
      <c r="K182">
        <f>IF(B182="","",B182-B181)</f>
        <v/>
      </c>
    </row>
    <row r="183">
      <c r="G183">
        <f>IF(C183="","",C183*$N$5)</f>
        <v/>
      </c>
      <c r="H183">
        <f>IF(C183="","",AVERAGE(C180:C183)*$N$5)</f>
        <v/>
      </c>
      <c r="I183">
        <f>IF(C183="","",AVERAGE(C168:C183)*$N$5)</f>
        <v/>
      </c>
      <c r="J183">
        <f>IF(C183="","",J182+$N$6*(C183*$N$5-J182))</f>
        <v/>
      </c>
      <c r="K183">
        <f>IF(B183="","",B183-B182)</f>
        <v/>
      </c>
    </row>
    <row r="184">
      <c r="G184">
        <f>IF(C184="","",C184*$N$5)</f>
        <v/>
      </c>
      <c r="H184">
        <f>IF(C184="","",AVERAGE(C181:C184)*$N$5)</f>
        <v/>
      </c>
      <c r="I184">
        <f>IF(C184="","",AVERAGE(C169:C184)*$N$5)</f>
        <v/>
      </c>
      <c r="J184">
        <f>IF(C184="","",J183+$N$6*(C184*$N$5-J183))</f>
        <v/>
      </c>
      <c r="K184">
        <f>IF(B184="","",B184-B183)</f>
        <v/>
      </c>
    </row>
    <row r="185">
      <c r="G185">
        <f>IF(C185="","",C185*$N$5)</f>
        <v/>
      </c>
      <c r="H185">
        <f>IF(C185="","",AVERAGE(C182:C185)*$N$5)</f>
        <v/>
      </c>
      <c r="I185">
        <f>IF(C185="","",AVERAGE(C170:C185)*$N$5)</f>
        <v/>
      </c>
      <c r="J185">
        <f>IF(C185="","",J184+$N$6*(C185*$N$5-J184))</f>
        <v/>
      </c>
      <c r="K185">
        <f>IF(B185="","",B185-B184)</f>
        <v/>
      </c>
    </row>
    <row r="186">
      <c r="G186">
        <f>IF(C186="","",C186*$N$5)</f>
        <v/>
      </c>
      <c r="H186">
        <f>IF(C186="","",AVERAGE(C183:C186)*$N$5)</f>
        <v/>
      </c>
      <c r="I186">
        <f>IF(C186="","",AVERAGE(C171:C186)*$N$5)</f>
        <v/>
      </c>
      <c r="J186">
        <f>IF(C186="","",J185+$N$6*(C186*$N$5-J185))</f>
        <v/>
      </c>
      <c r="K186">
        <f>IF(B186="","",B186-B185)</f>
        <v/>
      </c>
    </row>
    <row r="187">
      <c r="G187">
        <f>IF(C187="","",C187*$N$5)</f>
        <v/>
      </c>
      <c r="H187">
        <f>IF(C187="","",AVERAGE(C184:C187)*$N$5)</f>
        <v/>
      </c>
      <c r="I187">
        <f>IF(C187="","",AVERAGE(C172:C187)*$N$5)</f>
        <v/>
      </c>
      <c r="J187">
        <f>IF(C187="","",J186+$N$6*(C187*$N$5-J186))</f>
        <v/>
      </c>
      <c r="K187">
        <f>IF(B187="","",B187-B186)</f>
        <v/>
      </c>
    </row>
    <row r="188">
      <c r="G188">
        <f>IF(C188="","",C188*$N$5)</f>
        <v/>
      </c>
      <c r="H188">
        <f>IF(C188="","",AVERAGE(C185:C188)*$N$5)</f>
        <v/>
      </c>
      <c r="I188">
        <f>IF(C188="","",AVERAGE(C173:C188)*$N$5)</f>
        <v/>
      </c>
      <c r="J188">
        <f>IF(C188="","",J187+$N$6*(C188*$N$5-J187))</f>
        <v/>
      </c>
      <c r="K188">
        <f>IF(B188="","",B188-B187)</f>
        <v/>
      </c>
    </row>
    <row r="189">
      <c r="G189">
        <f>IF(C189="","",C189*$N$5)</f>
        <v/>
      </c>
      <c r="H189">
        <f>IF(C189="","",AVERAGE(C186:C189)*$N$5)</f>
        <v/>
      </c>
      <c r="I189">
        <f>IF(C189="","",AVERAGE(C174:C189)*$N$5)</f>
        <v/>
      </c>
      <c r="J189">
        <f>IF(C189="","",J188+$N$6*(C189*$N$5-J188))</f>
        <v/>
      </c>
      <c r="K189">
        <f>IF(B189="","",B189-B188)</f>
        <v/>
      </c>
    </row>
    <row r="190">
      <c r="G190">
        <f>IF(C190="","",C190*$N$5)</f>
        <v/>
      </c>
      <c r="H190">
        <f>IF(C190="","",AVERAGE(C187:C190)*$N$5)</f>
        <v/>
      </c>
      <c r="I190">
        <f>IF(C190="","",AVERAGE(C175:C190)*$N$5)</f>
        <v/>
      </c>
      <c r="J190">
        <f>IF(C190="","",J189+$N$6*(C190*$N$5-J189))</f>
        <v/>
      </c>
      <c r="K190">
        <f>IF(B190="","",B190-B189)</f>
        <v/>
      </c>
    </row>
    <row r="191">
      <c r="G191">
        <f>IF(C191="","",C191*$N$5)</f>
        <v/>
      </c>
      <c r="H191">
        <f>IF(C191="","",AVERAGE(C188:C191)*$N$5)</f>
        <v/>
      </c>
      <c r="I191">
        <f>IF(C191="","",AVERAGE(C176:C191)*$N$5)</f>
        <v/>
      </c>
      <c r="J191">
        <f>IF(C191="","",J190+$N$6*(C191*$N$5-J190))</f>
        <v/>
      </c>
      <c r="K191">
        <f>IF(B191="","",B191-B190)</f>
        <v/>
      </c>
    </row>
    <row r="192">
      <c r="G192">
        <f>IF(C192="","",C192*$N$5)</f>
        <v/>
      </c>
      <c r="H192">
        <f>IF(C192="","",AVERAGE(C189:C192)*$N$5)</f>
        <v/>
      </c>
      <c r="I192">
        <f>IF(C192="","",AVERAGE(C177:C192)*$N$5)</f>
        <v/>
      </c>
      <c r="J192">
        <f>IF(C192="","",J191+$N$6*(C192*$N$5-J191))</f>
        <v/>
      </c>
      <c r="K192">
        <f>IF(B192="","",B192-B191)</f>
        <v/>
      </c>
    </row>
    <row r="193">
      <c r="G193">
        <f>IF(C193="","",C193*$N$5)</f>
        <v/>
      </c>
      <c r="H193">
        <f>IF(C193="","",AVERAGE(C190:C193)*$N$5)</f>
        <v/>
      </c>
      <c r="I193">
        <f>IF(C193="","",AVERAGE(C178:C193)*$N$5)</f>
        <v/>
      </c>
      <c r="J193">
        <f>IF(C193="","",J192+$N$6*(C193*$N$5-J192))</f>
        <v/>
      </c>
      <c r="K193">
        <f>IF(B193="","",B193-B192)</f>
        <v/>
      </c>
    </row>
    <row r="194">
      <c r="G194">
        <f>IF(C194="","",C194*$N$5)</f>
        <v/>
      </c>
      <c r="H194">
        <f>IF(C194="","",AVERAGE(C191:C194)*$N$5)</f>
        <v/>
      </c>
      <c r="I194">
        <f>IF(C194="","",AVERAGE(C179:C194)*$N$5)</f>
        <v/>
      </c>
      <c r="J194">
        <f>IF(C194="","",J193+$N$6*(C194*$N$5-J193))</f>
        <v/>
      </c>
      <c r="K194">
        <f>IF(B194="","",B194-B193)</f>
        <v/>
      </c>
    </row>
    <row r="195">
      <c r="G195">
        <f>IF(C195="","",C195*$N$5)</f>
        <v/>
      </c>
      <c r="H195">
        <f>IF(C195="","",AVERAGE(C192:C195)*$N$5)</f>
        <v/>
      </c>
      <c r="I195">
        <f>IF(C195="","",AVERAGE(C180:C195)*$N$5)</f>
        <v/>
      </c>
      <c r="J195">
        <f>IF(C195="","",J194+$N$6*(C195*$N$5-J194))</f>
        <v/>
      </c>
      <c r="K195">
        <f>IF(B195="","",B195-B194)</f>
        <v/>
      </c>
    </row>
    <row r="196">
      <c r="G196">
        <f>IF(C196="","",C196*$N$5)</f>
        <v/>
      </c>
      <c r="H196">
        <f>IF(C196="","",AVERAGE(C193:C196)*$N$5)</f>
        <v/>
      </c>
      <c r="I196">
        <f>IF(C196="","",AVERAGE(C181:C196)*$N$5)</f>
        <v/>
      </c>
      <c r="J196">
        <f>IF(C196="","",J195+$N$6*(C196*$N$5-J195))</f>
        <v/>
      </c>
      <c r="K196">
        <f>IF(B196="","",B196-B195)</f>
        <v/>
      </c>
    </row>
    <row r="197">
      <c r="G197">
        <f>IF(C197="","",C197*$N$5)</f>
        <v/>
      </c>
      <c r="H197">
        <f>IF(C197="","",AVERAGE(C194:C197)*$N$5)</f>
        <v/>
      </c>
      <c r="I197">
        <f>IF(C197="","",AVERAGE(C182:C197)*$N$5)</f>
        <v/>
      </c>
      <c r="J197">
        <f>IF(C197="","",J196+$N$6*(C197*$N$5-J196))</f>
        <v/>
      </c>
      <c r="K197">
        <f>IF(B197="","",B197-B196)</f>
        <v/>
      </c>
    </row>
    <row r="198">
      <c r="G198">
        <f>IF(C198="","",C198*$N$5)</f>
        <v/>
      </c>
      <c r="H198">
        <f>IF(C198="","",AVERAGE(C195:C198)*$N$5)</f>
        <v/>
      </c>
      <c r="I198">
        <f>IF(C198="","",AVERAGE(C183:C198)*$N$5)</f>
        <v/>
      </c>
      <c r="J198">
        <f>IF(C198="","",J197+$N$6*(C198*$N$5-J197))</f>
        <v/>
      </c>
      <c r="K198">
        <f>IF(B198="","",B198-B197)</f>
        <v/>
      </c>
    </row>
    <row r="199">
      <c r="G199">
        <f>IF(C199="","",C199*$N$5)</f>
        <v/>
      </c>
      <c r="H199">
        <f>IF(C199="","",AVERAGE(C196:C199)*$N$5)</f>
        <v/>
      </c>
      <c r="I199">
        <f>IF(C199="","",AVERAGE(C184:C199)*$N$5)</f>
        <v/>
      </c>
      <c r="J199">
        <f>IF(C199="","",J198+$N$6*(C199*$N$5-J198))</f>
        <v/>
      </c>
      <c r="K199">
        <f>IF(B199="","",B199-B198)</f>
        <v/>
      </c>
    </row>
    <row r="200">
      <c r="G200">
        <f>IF(C200="","",C200*$N$5)</f>
        <v/>
      </c>
      <c r="H200">
        <f>IF(C200="","",AVERAGE(C197:C200)*$N$5)</f>
        <v/>
      </c>
      <c r="I200">
        <f>IF(C200="","",AVERAGE(C185:C200)*$N$5)</f>
        <v/>
      </c>
      <c r="J200">
        <f>IF(C200="","",J199+$N$6*(C200*$N$5-J199))</f>
        <v/>
      </c>
      <c r="K200">
        <f>IF(B200="","",B200-B199)</f>
        <v/>
      </c>
    </row>
    <row r="201">
      <c r="G201">
        <f>IF(C201="","",C201*$N$5)</f>
        <v/>
      </c>
      <c r="H201">
        <f>IF(C201="","",AVERAGE(C198:C201)*$N$5)</f>
        <v/>
      </c>
      <c r="I201">
        <f>IF(C201="","",AVERAGE(C186:C201)*$N$5)</f>
        <v/>
      </c>
      <c r="J201">
        <f>IF(C201="","",J200+$N$6*(C201*$N$5-J200))</f>
        <v/>
      </c>
      <c r="K201">
        <f>IF(B201="","",B201-B200)</f>
        <v/>
      </c>
    </row>
    <row r="202">
      <c r="G202">
        <f>IF(C202="","",C202*$N$5)</f>
        <v/>
      </c>
      <c r="H202">
        <f>IF(C202="","",AVERAGE(C199:C202)*$N$5)</f>
        <v/>
      </c>
      <c r="I202">
        <f>IF(C202="","",AVERAGE(C187:C202)*$N$5)</f>
        <v/>
      </c>
      <c r="J202">
        <f>IF(C202="","",J201+$N$6*(C202*$N$5-J201))</f>
        <v/>
      </c>
      <c r="K202">
        <f>IF(B202="","",B202-B201)</f>
        <v/>
      </c>
    </row>
    <row r="203">
      <c r="G203">
        <f>IF(C203="","",C203*$N$5)</f>
        <v/>
      </c>
      <c r="H203">
        <f>IF(C203="","",AVERAGE(C200:C203)*$N$5)</f>
        <v/>
      </c>
      <c r="I203">
        <f>IF(C203="","",AVERAGE(C188:C203)*$N$5)</f>
        <v/>
      </c>
      <c r="J203">
        <f>IF(C203="","",J202+$N$6*(C203*$N$5-J202))</f>
        <v/>
      </c>
      <c r="K203">
        <f>IF(B203="","",B203-B202)</f>
        <v/>
      </c>
    </row>
    <row r="204">
      <c r="G204">
        <f>IF(C204="","",C204*$N$5)</f>
        <v/>
      </c>
      <c r="H204">
        <f>IF(C204="","",AVERAGE(C201:C204)*$N$5)</f>
        <v/>
      </c>
      <c r="I204">
        <f>IF(C204="","",AVERAGE(C189:C204)*$N$5)</f>
        <v/>
      </c>
      <c r="J204">
        <f>IF(C204="","",J203+$N$6*(C204*$N$5-J203))</f>
        <v/>
      </c>
      <c r="K204">
        <f>IF(B204="","",B204-B203)</f>
        <v/>
      </c>
    </row>
    <row r="205">
      <c r="G205">
        <f>IF(C205="","",C205*$N$5)</f>
        <v/>
      </c>
      <c r="H205">
        <f>IF(C205="","",AVERAGE(C202:C205)*$N$5)</f>
        <v/>
      </c>
      <c r="I205">
        <f>IF(C205="","",AVERAGE(C190:C205)*$N$5)</f>
        <v/>
      </c>
      <c r="J205">
        <f>IF(C205="","",J204+$N$6*(C205*$N$5-J204))</f>
        <v/>
      </c>
      <c r="K205">
        <f>IF(B205="","",B205-B204)</f>
        <v/>
      </c>
    </row>
    <row r="206">
      <c r="G206">
        <f>IF(C206="","",C206*$N$5)</f>
        <v/>
      </c>
      <c r="H206">
        <f>IF(C206="","",AVERAGE(C203:C206)*$N$5)</f>
        <v/>
      </c>
      <c r="I206">
        <f>IF(C206="","",AVERAGE(C191:C206)*$N$5)</f>
        <v/>
      </c>
      <c r="J206">
        <f>IF(C206="","",J205+$N$6*(C206*$N$5-J205))</f>
        <v/>
      </c>
      <c r="K206">
        <f>IF(B206="","",B206-B205)</f>
        <v/>
      </c>
    </row>
    <row r="207">
      <c r="G207">
        <f>IF(C207="","",C207*$N$5)</f>
        <v/>
      </c>
      <c r="H207">
        <f>IF(C207="","",AVERAGE(C204:C207)*$N$5)</f>
        <v/>
      </c>
      <c r="I207">
        <f>IF(C207="","",AVERAGE(C192:C207)*$N$5)</f>
        <v/>
      </c>
      <c r="J207">
        <f>IF(C207="","",J206+$N$6*(C207*$N$5-J206))</f>
        <v/>
      </c>
      <c r="K207">
        <f>IF(B207="","",B207-B206)</f>
        <v/>
      </c>
    </row>
    <row r="208">
      <c r="G208">
        <f>IF(C208="","",C208*$N$5)</f>
        <v/>
      </c>
      <c r="H208">
        <f>IF(C208="","",AVERAGE(C205:C208)*$N$5)</f>
        <v/>
      </c>
      <c r="I208">
        <f>IF(C208="","",AVERAGE(C193:C208)*$N$5)</f>
        <v/>
      </c>
      <c r="J208">
        <f>IF(C208="","",J207+$N$6*(C208*$N$5-J207))</f>
        <v/>
      </c>
      <c r="K208">
        <f>IF(B208="","",B208-B207)</f>
        <v/>
      </c>
    </row>
    <row r="209">
      <c r="G209">
        <f>IF(C209="","",C209*$N$5)</f>
        <v/>
      </c>
      <c r="H209">
        <f>IF(C209="","",AVERAGE(C206:C209)*$N$5)</f>
        <v/>
      </c>
      <c r="I209">
        <f>IF(C209="","",AVERAGE(C194:C209)*$N$5)</f>
        <v/>
      </c>
      <c r="J209">
        <f>IF(C209="","",J208+$N$6*(C209*$N$5-J208))</f>
        <v/>
      </c>
      <c r="K209">
        <f>IF(B209="","",B209-B208)</f>
        <v/>
      </c>
    </row>
    <row r="210">
      <c r="G210">
        <f>IF(C210="","",C210*$N$5)</f>
        <v/>
      </c>
      <c r="H210">
        <f>IF(C210="","",AVERAGE(C207:C210)*$N$5)</f>
        <v/>
      </c>
      <c r="I210">
        <f>IF(C210="","",AVERAGE(C195:C210)*$N$5)</f>
        <v/>
      </c>
      <c r="J210">
        <f>IF(C210="","",J209+$N$6*(C210*$N$5-J209))</f>
        <v/>
      </c>
      <c r="K210">
        <f>IF(B210="","",B210-B209)</f>
        <v/>
      </c>
    </row>
    <row r="211">
      <c r="G211">
        <f>IF(C211="","",C211*$N$5)</f>
        <v/>
      </c>
      <c r="H211">
        <f>IF(C211="","",AVERAGE(C208:C211)*$N$5)</f>
        <v/>
      </c>
      <c r="I211">
        <f>IF(C211="","",AVERAGE(C196:C211)*$N$5)</f>
        <v/>
      </c>
      <c r="J211">
        <f>IF(C211="","",J210+$N$6*(C211*$N$5-J210))</f>
        <v/>
      </c>
      <c r="K211">
        <f>IF(B211="","",B211-B210)</f>
        <v/>
      </c>
    </row>
    <row r="212">
      <c r="G212">
        <f>IF(C212="","",C212*$N$5)</f>
        <v/>
      </c>
      <c r="H212">
        <f>IF(C212="","",AVERAGE(C209:C212)*$N$5)</f>
        <v/>
      </c>
      <c r="I212">
        <f>IF(C212="","",AVERAGE(C197:C212)*$N$5)</f>
        <v/>
      </c>
      <c r="J212">
        <f>IF(C212="","",J211+$N$6*(C212*$N$5-J211))</f>
        <v/>
      </c>
      <c r="K212">
        <f>IF(B212="","",B212-B211)</f>
        <v/>
      </c>
    </row>
    <row r="213">
      <c r="G213">
        <f>IF(C213="","",C213*$N$5)</f>
        <v/>
      </c>
      <c r="H213">
        <f>IF(C213="","",AVERAGE(C210:C213)*$N$5)</f>
        <v/>
      </c>
      <c r="I213">
        <f>IF(C213="","",AVERAGE(C198:C213)*$N$5)</f>
        <v/>
      </c>
      <c r="J213">
        <f>IF(C213="","",J212+$N$6*(C213*$N$5-J212))</f>
        <v/>
      </c>
      <c r="K213">
        <f>IF(B213="","",B213-B212)</f>
        <v/>
      </c>
    </row>
    <row r="214">
      <c r="G214">
        <f>IF(C214="","",C214*$N$5)</f>
        <v/>
      </c>
      <c r="H214">
        <f>IF(C214="","",AVERAGE(C211:C214)*$N$5)</f>
        <v/>
      </c>
      <c r="I214">
        <f>IF(C214="","",AVERAGE(C199:C214)*$N$5)</f>
        <v/>
      </c>
      <c r="J214">
        <f>IF(C214="","",J213+$N$6*(C214*$N$5-J213))</f>
        <v/>
      </c>
      <c r="K214">
        <f>IF(B214="","",B214-B213)</f>
        <v/>
      </c>
    </row>
    <row r="215">
      <c r="G215">
        <f>IF(C215="","",C215*$N$5)</f>
        <v/>
      </c>
      <c r="H215">
        <f>IF(C215="","",AVERAGE(C212:C215)*$N$5)</f>
        <v/>
      </c>
      <c r="I215">
        <f>IF(C215="","",AVERAGE(C200:C215)*$N$5)</f>
        <v/>
      </c>
      <c r="J215">
        <f>IF(C215="","",J214+$N$6*(C215*$N$5-J214))</f>
        <v/>
      </c>
      <c r="K215">
        <f>IF(B215="","",B215-B214)</f>
        <v/>
      </c>
    </row>
    <row r="216">
      <c r="G216">
        <f>IF(C216="","",C216*$N$5)</f>
        <v/>
      </c>
      <c r="H216">
        <f>IF(C216="","",AVERAGE(C213:C216)*$N$5)</f>
        <v/>
      </c>
      <c r="I216">
        <f>IF(C216="","",AVERAGE(C201:C216)*$N$5)</f>
        <v/>
      </c>
      <c r="J216">
        <f>IF(C216="","",J215+$N$6*(C216*$N$5-J215))</f>
        <v/>
      </c>
      <c r="K216">
        <f>IF(B216="","",B216-B215)</f>
        <v/>
      </c>
    </row>
    <row r="217">
      <c r="G217">
        <f>IF(C217="","",C217*$N$5)</f>
        <v/>
      </c>
      <c r="H217">
        <f>IF(C217="","",AVERAGE(C214:C217)*$N$5)</f>
        <v/>
      </c>
      <c r="I217">
        <f>IF(C217="","",AVERAGE(C202:C217)*$N$5)</f>
        <v/>
      </c>
      <c r="J217">
        <f>IF(C217="","",J216+$N$6*(C217*$N$5-J216))</f>
        <v/>
      </c>
      <c r="K217">
        <f>IF(B217="","",B217-B216)</f>
        <v/>
      </c>
    </row>
    <row r="218">
      <c r="G218">
        <f>IF(C218="","",C218*$N$5)</f>
        <v/>
      </c>
      <c r="H218">
        <f>IF(C218="","",AVERAGE(C215:C218)*$N$5)</f>
        <v/>
      </c>
      <c r="I218">
        <f>IF(C218="","",AVERAGE(C203:C218)*$N$5)</f>
        <v/>
      </c>
      <c r="J218">
        <f>IF(C218="","",J217+$N$6*(C218*$N$5-J217))</f>
        <v/>
      </c>
      <c r="K218">
        <f>IF(B218="","",B218-B217)</f>
        <v/>
      </c>
    </row>
    <row r="219">
      <c r="G219">
        <f>IF(C219="","",C219*$N$5)</f>
        <v/>
      </c>
      <c r="H219">
        <f>IF(C219="","",AVERAGE(C216:C219)*$N$5)</f>
        <v/>
      </c>
      <c r="I219">
        <f>IF(C219="","",AVERAGE(C204:C219)*$N$5)</f>
        <v/>
      </c>
      <c r="J219">
        <f>IF(C219="","",J218+$N$6*(C219*$N$5-J218))</f>
        <v/>
      </c>
      <c r="K219">
        <f>IF(B219="","",B219-B218)</f>
        <v/>
      </c>
    </row>
    <row r="220">
      <c r="G220">
        <f>IF(C220="","",C220*$N$5)</f>
        <v/>
      </c>
      <c r="H220">
        <f>IF(C220="","",AVERAGE(C217:C220)*$N$5)</f>
        <v/>
      </c>
      <c r="I220">
        <f>IF(C220="","",AVERAGE(C205:C220)*$N$5)</f>
        <v/>
      </c>
      <c r="J220">
        <f>IF(C220="","",J219+$N$6*(C220*$N$5-J219))</f>
        <v/>
      </c>
      <c r="K220">
        <f>IF(B220="","",B220-B219)</f>
        <v/>
      </c>
    </row>
    <row r="221">
      <c r="G221">
        <f>IF(C221="","",C221*$N$5)</f>
        <v/>
      </c>
      <c r="H221">
        <f>IF(C221="","",AVERAGE(C218:C221)*$N$5)</f>
        <v/>
      </c>
      <c r="I221">
        <f>IF(C221="","",AVERAGE(C206:C221)*$N$5)</f>
        <v/>
      </c>
      <c r="J221">
        <f>IF(C221="","",J220+$N$6*(C221*$N$5-J220))</f>
        <v/>
      </c>
      <c r="K221">
        <f>IF(B221="","",B221-B220)</f>
        <v/>
      </c>
    </row>
    <row r="222">
      <c r="G222">
        <f>IF(C222="","",C222*$N$5)</f>
        <v/>
      </c>
      <c r="H222">
        <f>IF(C222="","",AVERAGE(C219:C222)*$N$5)</f>
        <v/>
      </c>
      <c r="I222">
        <f>IF(C222="","",AVERAGE(C207:C222)*$N$5)</f>
        <v/>
      </c>
      <c r="J222">
        <f>IF(C222="","",J221+$N$6*(C222*$N$5-J221))</f>
        <v/>
      </c>
      <c r="K222">
        <f>IF(B222="","",B222-B221)</f>
        <v/>
      </c>
    </row>
    <row r="223">
      <c r="G223">
        <f>IF(C223="","",C223*$N$5)</f>
        <v/>
      </c>
      <c r="H223">
        <f>IF(C223="","",AVERAGE(C220:C223)*$N$5)</f>
        <v/>
      </c>
      <c r="I223">
        <f>IF(C223="","",AVERAGE(C208:C223)*$N$5)</f>
        <v/>
      </c>
      <c r="J223">
        <f>IF(C223="","",J222+$N$6*(C223*$N$5-J222))</f>
        <v/>
      </c>
      <c r="K223">
        <f>IF(B223="","",B223-B222)</f>
        <v/>
      </c>
    </row>
    <row r="224">
      <c r="G224">
        <f>IF(C224="","",C224*$N$5)</f>
        <v/>
      </c>
      <c r="H224">
        <f>IF(C224="","",AVERAGE(C221:C224)*$N$5)</f>
        <v/>
      </c>
      <c r="I224">
        <f>IF(C224="","",AVERAGE(C209:C224)*$N$5)</f>
        <v/>
      </c>
      <c r="J224">
        <f>IF(C224="","",J223+$N$6*(C224*$N$5-J223))</f>
        <v/>
      </c>
      <c r="K224">
        <f>IF(B224="","",B224-B223)</f>
        <v/>
      </c>
    </row>
    <row r="225">
      <c r="G225">
        <f>IF(C225="","",C225*$N$5)</f>
        <v/>
      </c>
      <c r="H225">
        <f>IF(C225="","",AVERAGE(C222:C225)*$N$5)</f>
        <v/>
      </c>
      <c r="I225">
        <f>IF(C225="","",AVERAGE(C210:C225)*$N$5)</f>
        <v/>
      </c>
      <c r="J225">
        <f>IF(C225="","",J224+$N$6*(C225*$N$5-J224))</f>
        <v/>
      </c>
      <c r="K225">
        <f>IF(B225="","",B225-B224)</f>
        <v/>
      </c>
    </row>
    <row r="226">
      <c r="G226">
        <f>IF(C226="","",C226*$N$5)</f>
        <v/>
      </c>
      <c r="H226">
        <f>IF(C226="","",AVERAGE(C223:C226)*$N$5)</f>
        <v/>
      </c>
      <c r="I226">
        <f>IF(C226="","",AVERAGE(C211:C226)*$N$5)</f>
        <v/>
      </c>
      <c r="J226">
        <f>IF(C226="","",J225+$N$6*(C226*$N$5-J225))</f>
        <v/>
      </c>
      <c r="K226">
        <f>IF(B226="","",B226-B225)</f>
        <v/>
      </c>
    </row>
    <row r="227">
      <c r="G227">
        <f>IF(C227="","",C227*$N$5)</f>
        <v/>
      </c>
      <c r="H227">
        <f>IF(C227="","",AVERAGE(C224:C227)*$N$5)</f>
        <v/>
      </c>
      <c r="I227">
        <f>IF(C227="","",AVERAGE(C212:C227)*$N$5)</f>
        <v/>
      </c>
      <c r="J227">
        <f>IF(C227="","",J226+$N$6*(C227*$N$5-J226))</f>
        <v/>
      </c>
      <c r="K227">
        <f>IF(B227="","",B227-B226)</f>
        <v/>
      </c>
    </row>
    <row r="228">
      <c r="G228">
        <f>IF(C228="","",C228*$N$5)</f>
        <v/>
      </c>
      <c r="H228">
        <f>IF(C228="","",AVERAGE(C225:C228)*$N$5)</f>
        <v/>
      </c>
      <c r="I228">
        <f>IF(C228="","",AVERAGE(C213:C228)*$N$5)</f>
        <v/>
      </c>
      <c r="J228">
        <f>IF(C228="","",J227+$N$6*(C228*$N$5-J227))</f>
        <v/>
      </c>
      <c r="K228">
        <f>IF(B228="","",B228-B227)</f>
        <v/>
      </c>
    </row>
    <row r="229">
      <c r="G229">
        <f>IF(C229="","",C229*$N$5)</f>
        <v/>
      </c>
      <c r="H229">
        <f>IF(C229="","",AVERAGE(C226:C229)*$N$5)</f>
        <v/>
      </c>
      <c r="I229">
        <f>IF(C229="","",AVERAGE(C214:C229)*$N$5)</f>
        <v/>
      </c>
      <c r="J229">
        <f>IF(C229="","",J228+$N$6*(C229*$N$5-J228))</f>
        <v/>
      </c>
      <c r="K229">
        <f>IF(B229="","",B229-B228)</f>
        <v/>
      </c>
    </row>
    <row r="230">
      <c r="G230">
        <f>IF(C230="","",C230*$N$5)</f>
        <v/>
      </c>
      <c r="H230">
        <f>IF(C230="","",AVERAGE(C227:C230)*$N$5)</f>
        <v/>
      </c>
      <c r="I230">
        <f>IF(C230="","",AVERAGE(C215:C230)*$N$5)</f>
        <v/>
      </c>
      <c r="J230">
        <f>IF(C230="","",J229+$N$6*(C230*$N$5-J229))</f>
        <v/>
      </c>
      <c r="K230">
        <f>IF(B230="","",B230-B229)</f>
        <v/>
      </c>
    </row>
    <row r="231">
      <c r="G231">
        <f>IF(C231="","",C231*$N$5)</f>
        <v/>
      </c>
      <c r="H231">
        <f>IF(C231="","",AVERAGE(C228:C231)*$N$5)</f>
        <v/>
      </c>
      <c r="I231">
        <f>IF(C231="","",AVERAGE(C216:C231)*$N$5)</f>
        <v/>
      </c>
      <c r="J231">
        <f>IF(C231="","",J230+$N$6*(C231*$N$5-J230))</f>
        <v/>
      </c>
      <c r="K231">
        <f>IF(B231="","",B231-B230)</f>
        <v/>
      </c>
    </row>
    <row r="232">
      <c r="G232">
        <f>IF(C232="","",C232*$N$5)</f>
        <v/>
      </c>
      <c r="H232">
        <f>IF(C232="","",AVERAGE(C229:C232)*$N$5)</f>
        <v/>
      </c>
      <c r="I232">
        <f>IF(C232="","",AVERAGE(C217:C232)*$N$5)</f>
        <v/>
      </c>
      <c r="J232">
        <f>IF(C232="","",J231+$N$6*(C232*$N$5-J231))</f>
        <v/>
      </c>
      <c r="K232">
        <f>IF(B232="","",B232-B231)</f>
        <v/>
      </c>
    </row>
    <row r="233">
      <c r="G233">
        <f>IF(C233="","",C233*$N$5)</f>
        <v/>
      </c>
      <c r="H233">
        <f>IF(C233="","",AVERAGE(C230:C233)*$N$5)</f>
        <v/>
      </c>
      <c r="I233">
        <f>IF(C233="","",AVERAGE(C218:C233)*$N$5)</f>
        <v/>
      </c>
      <c r="J233">
        <f>IF(C233="","",J232+$N$6*(C233*$N$5-J232))</f>
        <v/>
      </c>
      <c r="K233">
        <f>IF(B233="","",B233-B232)</f>
        <v/>
      </c>
    </row>
    <row r="234">
      <c r="G234">
        <f>IF(C234="","",C234*$N$5)</f>
        <v/>
      </c>
      <c r="H234">
        <f>IF(C234="","",AVERAGE(C231:C234)*$N$5)</f>
        <v/>
      </c>
      <c r="I234">
        <f>IF(C234="","",AVERAGE(C219:C234)*$N$5)</f>
        <v/>
      </c>
      <c r="J234">
        <f>IF(C234="","",J233+$N$6*(C234*$N$5-J233))</f>
        <v/>
      </c>
      <c r="K234">
        <f>IF(B234="","",B234-B233)</f>
        <v/>
      </c>
    </row>
    <row r="235">
      <c r="G235">
        <f>IF(C235="","",C235*$N$5)</f>
        <v/>
      </c>
      <c r="H235">
        <f>IF(C235="","",AVERAGE(C232:C235)*$N$5)</f>
        <v/>
      </c>
      <c r="I235">
        <f>IF(C235="","",AVERAGE(C220:C235)*$N$5)</f>
        <v/>
      </c>
      <c r="J235">
        <f>IF(C235="","",J234+$N$6*(C235*$N$5-J234))</f>
        <v/>
      </c>
      <c r="K235">
        <f>IF(B235="","",B235-B234)</f>
        <v/>
      </c>
    </row>
    <row r="236">
      <c r="G236">
        <f>IF(C236="","",C236*$N$5)</f>
        <v/>
      </c>
      <c r="H236">
        <f>IF(C236="","",AVERAGE(C233:C236)*$N$5)</f>
        <v/>
      </c>
      <c r="I236">
        <f>IF(C236="","",AVERAGE(C221:C236)*$N$5)</f>
        <v/>
      </c>
      <c r="J236">
        <f>IF(C236="","",J235+$N$6*(C236*$N$5-J235))</f>
        <v/>
      </c>
      <c r="K236">
        <f>IF(B236="","",B236-B235)</f>
        <v/>
      </c>
    </row>
    <row r="237">
      <c r="G237">
        <f>IF(C237="","",C237*$N$5)</f>
        <v/>
      </c>
      <c r="H237">
        <f>IF(C237="","",AVERAGE(C234:C237)*$N$5)</f>
        <v/>
      </c>
      <c r="I237">
        <f>IF(C237="","",AVERAGE(C222:C237)*$N$5)</f>
        <v/>
      </c>
      <c r="J237">
        <f>IF(C237="","",J236+$N$6*(C237*$N$5-J236))</f>
        <v/>
      </c>
      <c r="K237">
        <f>IF(B237="","",B237-B236)</f>
        <v/>
      </c>
    </row>
    <row r="238">
      <c r="G238">
        <f>IF(C238="","",C238*$N$5)</f>
        <v/>
      </c>
      <c r="H238">
        <f>IF(C238="","",AVERAGE(C235:C238)*$N$5)</f>
        <v/>
      </c>
      <c r="I238">
        <f>IF(C238="","",AVERAGE(C223:C238)*$N$5)</f>
        <v/>
      </c>
      <c r="J238">
        <f>IF(C238="","",J237+$N$6*(C238*$N$5-J237))</f>
        <v/>
      </c>
      <c r="K238">
        <f>IF(B238="","",B238-B237)</f>
        <v/>
      </c>
    </row>
    <row r="239">
      <c r="G239">
        <f>IF(C239="","",C239*$N$5)</f>
        <v/>
      </c>
      <c r="H239">
        <f>IF(C239="","",AVERAGE(C236:C239)*$N$5)</f>
        <v/>
      </c>
      <c r="I239">
        <f>IF(C239="","",AVERAGE(C224:C239)*$N$5)</f>
        <v/>
      </c>
      <c r="J239">
        <f>IF(C239="","",J238+$N$6*(C239*$N$5-J238))</f>
        <v/>
      </c>
      <c r="K239">
        <f>IF(B239="","",B239-B238)</f>
        <v/>
      </c>
    </row>
    <row r="240">
      <c r="G240">
        <f>IF(C240="","",C240*$N$5)</f>
        <v/>
      </c>
      <c r="H240">
        <f>IF(C240="","",AVERAGE(C237:C240)*$N$5)</f>
        <v/>
      </c>
      <c r="I240">
        <f>IF(C240="","",AVERAGE(C225:C240)*$N$5)</f>
        <v/>
      </c>
      <c r="J240">
        <f>IF(C240="","",J239+$N$6*(C240*$N$5-J239))</f>
        <v/>
      </c>
      <c r="K240">
        <f>IF(B240="","",B240-B239)</f>
        <v/>
      </c>
    </row>
    <row r="241">
      <c r="G241">
        <f>IF(C241="","",C241*$N$5)</f>
        <v/>
      </c>
      <c r="H241">
        <f>IF(C241="","",AVERAGE(C238:C241)*$N$5)</f>
        <v/>
      </c>
      <c r="I241">
        <f>IF(C241="","",AVERAGE(C226:C241)*$N$5)</f>
        <v/>
      </c>
      <c r="J241">
        <f>IF(C241="","",J240+$N$6*(C241*$N$5-J240))</f>
        <v/>
      </c>
      <c r="K241">
        <f>IF(B241="","",B241-B240)</f>
        <v/>
      </c>
    </row>
    <row r="242">
      <c r="G242">
        <f>IF(C242="","",C242*$N$5)</f>
        <v/>
      </c>
      <c r="H242">
        <f>IF(C242="","",AVERAGE(C239:C242)*$N$5)</f>
        <v/>
      </c>
      <c r="I242">
        <f>IF(C242="","",AVERAGE(C227:C242)*$N$5)</f>
        <v/>
      </c>
      <c r="J242">
        <f>IF(C242="","",J241+$N$6*(C242*$N$5-J241))</f>
        <v/>
      </c>
      <c r="K242">
        <f>IF(B242="","",B242-B241)</f>
        <v/>
      </c>
    </row>
    <row r="243">
      <c r="G243">
        <f>IF(C243="","",C243*$N$5)</f>
        <v/>
      </c>
      <c r="H243">
        <f>IF(C243="","",AVERAGE(C240:C243)*$N$5)</f>
        <v/>
      </c>
      <c r="I243">
        <f>IF(C243="","",AVERAGE(C228:C243)*$N$5)</f>
        <v/>
      </c>
      <c r="J243">
        <f>IF(C243="","",J242+$N$6*(C243*$N$5-J242))</f>
        <v/>
      </c>
      <c r="K243">
        <f>IF(B243="","",B243-B242)</f>
        <v/>
      </c>
    </row>
    <row r="244">
      <c r="G244">
        <f>IF(C244="","",C244*$N$5)</f>
        <v/>
      </c>
      <c r="H244">
        <f>IF(C244="","",AVERAGE(C241:C244)*$N$5)</f>
        <v/>
      </c>
      <c r="I244">
        <f>IF(C244="","",AVERAGE(C229:C244)*$N$5)</f>
        <v/>
      </c>
      <c r="J244">
        <f>IF(C244="","",J243+$N$6*(C244*$N$5-J243))</f>
        <v/>
      </c>
      <c r="K244">
        <f>IF(B244="","",B244-B243)</f>
        <v/>
      </c>
    </row>
    <row r="245">
      <c r="G245">
        <f>IF(C245="","",C245*$N$5)</f>
        <v/>
      </c>
      <c r="H245">
        <f>IF(C245="","",AVERAGE(C242:C245)*$N$5)</f>
        <v/>
      </c>
      <c r="I245">
        <f>IF(C245="","",AVERAGE(C230:C245)*$N$5)</f>
        <v/>
      </c>
      <c r="J245">
        <f>IF(C245="","",J244+$N$6*(C245*$N$5-J244))</f>
        <v/>
      </c>
      <c r="K245">
        <f>IF(B245="","",B245-B244)</f>
        <v/>
      </c>
    </row>
    <row r="246">
      <c r="G246">
        <f>IF(C246="","",C246*$N$5)</f>
        <v/>
      </c>
      <c r="H246">
        <f>IF(C246="","",AVERAGE(C243:C246)*$N$5)</f>
        <v/>
      </c>
      <c r="I246">
        <f>IF(C246="","",AVERAGE(C231:C246)*$N$5)</f>
        <v/>
      </c>
      <c r="J246">
        <f>IF(C246="","",J245+$N$6*(C246*$N$5-J245))</f>
        <v/>
      </c>
      <c r="K246">
        <f>IF(B246="","",B246-B245)</f>
        <v/>
      </c>
    </row>
    <row r="247">
      <c r="G247">
        <f>IF(C247="","",C247*$N$5)</f>
        <v/>
      </c>
      <c r="H247">
        <f>IF(C247="","",AVERAGE(C244:C247)*$N$5)</f>
        <v/>
      </c>
      <c r="I247">
        <f>IF(C247="","",AVERAGE(C232:C247)*$N$5)</f>
        <v/>
      </c>
      <c r="J247">
        <f>IF(C247="","",J246+$N$6*(C247*$N$5-J246))</f>
        <v/>
      </c>
      <c r="K247">
        <f>IF(B247="","",B247-B246)</f>
        <v/>
      </c>
    </row>
    <row r="248">
      <c r="G248">
        <f>IF(C248="","",C248*$N$5)</f>
        <v/>
      </c>
      <c r="H248">
        <f>IF(C248="","",AVERAGE(C245:C248)*$N$5)</f>
        <v/>
      </c>
      <c r="I248">
        <f>IF(C248="","",AVERAGE(C233:C248)*$N$5)</f>
        <v/>
      </c>
      <c r="J248">
        <f>IF(C248="","",J247+$N$6*(C248*$N$5-J247))</f>
        <v/>
      </c>
      <c r="K248">
        <f>IF(B248="","",B248-B247)</f>
        <v/>
      </c>
    </row>
    <row r="249">
      <c r="G249">
        <f>IF(C249="","",C249*$N$5)</f>
        <v/>
      </c>
      <c r="H249">
        <f>IF(C249="","",AVERAGE(C246:C249)*$N$5)</f>
        <v/>
      </c>
      <c r="I249">
        <f>IF(C249="","",AVERAGE(C234:C249)*$N$5)</f>
        <v/>
      </c>
      <c r="J249">
        <f>IF(C249="","",J248+$N$6*(C249*$N$5-J248))</f>
        <v/>
      </c>
      <c r="K249">
        <f>IF(B249="","",B249-B248)</f>
        <v/>
      </c>
    </row>
    <row r="250">
      <c r="G250">
        <f>IF(C250="","",C250*$N$5)</f>
        <v/>
      </c>
      <c r="H250">
        <f>IF(C250="","",AVERAGE(C247:C250)*$N$5)</f>
        <v/>
      </c>
      <c r="I250">
        <f>IF(C250="","",AVERAGE(C235:C250)*$N$5)</f>
        <v/>
      </c>
      <c r="J250">
        <f>IF(C250="","",J249+$N$6*(C250*$N$5-J249))</f>
        <v/>
      </c>
      <c r="K250">
        <f>IF(B250="","",B250-B249)</f>
        <v/>
      </c>
    </row>
    <row r="251">
      <c r="G251">
        <f>IF(C251="","",C251*$N$5)</f>
        <v/>
      </c>
      <c r="H251">
        <f>IF(C251="","",AVERAGE(C248:C251)*$N$5)</f>
        <v/>
      </c>
      <c r="I251">
        <f>IF(C251="","",AVERAGE(C236:C251)*$N$5)</f>
        <v/>
      </c>
      <c r="J251">
        <f>IF(C251="","",J250+$N$6*(C251*$N$5-J250))</f>
        <v/>
      </c>
      <c r="K251">
        <f>IF(B251="","",B251-B250)</f>
        <v/>
      </c>
    </row>
    <row r="252">
      <c r="G252">
        <f>IF(C252="","",C252*$N$5)</f>
        <v/>
      </c>
      <c r="H252">
        <f>IF(C252="","",AVERAGE(C249:C252)*$N$5)</f>
        <v/>
      </c>
      <c r="I252">
        <f>IF(C252="","",AVERAGE(C237:C252)*$N$5)</f>
        <v/>
      </c>
      <c r="J252">
        <f>IF(C252="","",J251+$N$6*(C252*$N$5-J251))</f>
        <v/>
      </c>
      <c r="K252">
        <f>IF(B252="","",B252-B251)</f>
        <v/>
      </c>
    </row>
    <row r="253">
      <c r="G253">
        <f>IF(C253="","",C253*$N$5)</f>
        <v/>
      </c>
      <c r="H253">
        <f>IF(C253="","",AVERAGE(C250:C253)*$N$5)</f>
        <v/>
      </c>
      <c r="I253">
        <f>IF(C253="","",AVERAGE(C238:C253)*$N$5)</f>
        <v/>
      </c>
      <c r="J253">
        <f>IF(C253="","",J252+$N$6*(C253*$N$5-J252))</f>
        <v/>
      </c>
      <c r="K253">
        <f>IF(B253="","",B253-B252)</f>
        <v/>
      </c>
    </row>
    <row r="254">
      <c r="G254">
        <f>IF(C254="","",C254*$N$5)</f>
        <v/>
      </c>
      <c r="H254">
        <f>IF(C254="","",AVERAGE(C251:C254)*$N$5)</f>
        <v/>
      </c>
      <c r="I254">
        <f>IF(C254="","",AVERAGE(C239:C254)*$N$5)</f>
        <v/>
      </c>
      <c r="J254">
        <f>IF(C254="","",J253+$N$6*(C254*$N$5-J253))</f>
        <v/>
      </c>
      <c r="K254">
        <f>IF(B254="","",B254-B253)</f>
        <v/>
      </c>
    </row>
    <row r="255">
      <c r="G255">
        <f>IF(C255="","",C255*$N$5)</f>
        <v/>
      </c>
      <c r="H255">
        <f>IF(C255="","",AVERAGE(C252:C255)*$N$5)</f>
        <v/>
      </c>
      <c r="I255">
        <f>IF(C255="","",AVERAGE(C240:C255)*$N$5)</f>
        <v/>
      </c>
      <c r="J255">
        <f>IF(C255="","",J254+$N$6*(C255*$N$5-J254))</f>
        <v/>
      </c>
      <c r="K255">
        <f>IF(B255="","",B255-B254)</f>
        <v/>
      </c>
    </row>
    <row r="256">
      <c r="G256">
        <f>IF(C256="","",C256*$N$5)</f>
        <v/>
      </c>
      <c r="H256">
        <f>IF(C256="","",AVERAGE(C253:C256)*$N$5)</f>
        <v/>
      </c>
      <c r="I256">
        <f>IF(C256="","",AVERAGE(C241:C256)*$N$5)</f>
        <v/>
      </c>
      <c r="J256">
        <f>IF(C256="","",J255+$N$6*(C256*$N$5-J255))</f>
        <v/>
      </c>
      <c r="K256">
        <f>IF(B256="","",B256-B255)</f>
        <v/>
      </c>
    </row>
    <row r="257">
      <c r="G257">
        <f>IF(C257="","",C257*$N$5)</f>
        <v/>
      </c>
      <c r="H257">
        <f>IF(C257="","",AVERAGE(C254:C257)*$N$5)</f>
        <v/>
      </c>
      <c r="I257">
        <f>IF(C257="","",AVERAGE(C242:C257)*$N$5)</f>
        <v/>
      </c>
      <c r="J257">
        <f>IF(C257="","",J256+$N$6*(C257*$N$5-J256))</f>
        <v/>
      </c>
      <c r="K257">
        <f>IF(B257="","",B257-B256)</f>
        <v/>
      </c>
    </row>
    <row r="258">
      <c r="G258">
        <f>IF(C258="","",C258*$N$5)</f>
        <v/>
      </c>
      <c r="H258">
        <f>IF(C258="","",AVERAGE(C255:C258)*$N$5)</f>
        <v/>
      </c>
      <c r="I258">
        <f>IF(C258="","",AVERAGE(C243:C258)*$N$5)</f>
        <v/>
      </c>
      <c r="J258">
        <f>IF(C258="","",J257+$N$6*(C258*$N$5-J257))</f>
        <v/>
      </c>
      <c r="K258">
        <f>IF(B258="","",B258-B257)</f>
        <v/>
      </c>
    </row>
    <row r="259">
      <c r="G259">
        <f>IF(C259="","",C259*$N$5)</f>
        <v/>
      </c>
      <c r="H259">
        <f>IF(C259="","",AVERAGE(C256:C259)*$N$5)</f>
        <v/>
      </c>
      <c r="I259">
        <f>IF(C259="","",AVERAGE(C244:C259)*$N$5)</f>
        <v/>
      </c>
      <c r="J259">
        <f>IF(C259="","",J258+$N$6*(C259*$N$5-J258))</f>
        <v/>
      </c>
      <c r="K259">
        <f>IF(B259="","",B259-B258)</f>
        <v/>
      </c>
    </row>
    <row r="260">
      <c r="G260">
        <f>IF(C260="","",C260*$N$5)</f>
        <v/>
      </c>
      <c r="H260">
        <f>IF(C260="","",AVERAGE(C257:C260)*$N$5)</f>
        <v/>
      </c>
      <c r="I260">
        <f>IF(C260="","",AVERAGE(C245:C260)*$N$5)</f>
        <v/>
      </c>
      <c r="J260">
        <f>IF(C260="","",J259+$N$6*(C260*$N$5-J259))</f>
        <v/>
      </c>
      <c r="K260">
        <f>IF(B260="","",B260-B259)</f>
        <v/>
      </c>
    </row>
    <row r="261">
      <c r="G261">
        <f>IF(C261="","",C261*$N$5)</f>
        <v/>
      </c>
      <c r="H261">
        <f>IF(C261="","",AVERAGE(C258:C261)*$N$5)</f>
        <v/>
      </c>
      <c r="I261">
        <f>IF(C261="","",AVERAGE(C246:C261)*$N$5)</f>
        <v/>
      </c>
      <c r="J261">
        <f>IF(C261="","",J260+$N$6*(C261*$N$5-J260))</f>
        <v/>
      </c>
      <c r="K261">
        <f>IF(B261="","",B261-B260)</f>
        <v/>
      </c>
    </row>
    <row r="262">
      <c r="G262">
        <f>IF(C262="","",C262*$N$5)</f>
        <v/>
      </c>
      <c r="H262">
        <f>IF(C262="","",AVERAGE(C259:C262)*$N$5)</f>
        <v/>
      </c>
      <c r="I262">
        <f>IF(C262="","",AVERAGE(C247:C262)*$N$5)</f>
        <v/>
      </c>
      <c r="J262">
        <f>IF(C262="","",J261+$N$6*(C262*$N$5-J261))</f>
        <v/>
      </c>
      <c r="K262">
        <f>IF(B262="","",B262-B261)</f>
        <v/>
      </c>
    </row>
    <row r="263">
      <c r="G263">
        <f>IF(C263="","",C263*$N$5)</f>
        <v/>
      </c>
      <c r="H263">
        <f>IF(C263="","",AVERAGE(C260:C263)*$N$5)</f>
        <v/>
      </c>
      <c r="I263">
        <f>IF(C263="","",AVERAGE(C248:C263)*$N$5)</f>
        <v/>
      </c>
      <c r="J263">
        <f>IF(C263="","",J262+$N$6*(C263*$N$5-J262))</f>
        <v/>
      </c>
      <c r="K263">
        <f>IF(B263="","",B263-B262)</f>
        <v/>
      </c>
    </row>
    <row r="264">
      <c r="G264">
        <f>IF(C264="","",C264*$N$5)</f>
        <v/>
      </c>
      <c r="H264">
        <f>IF(C264="","",AVERAGE(C261:C264)*$N$5)</f>
        <v/>
      </c>
      <c r="I264">
        <f>IF(C264="","",AVERAGE(C249:C264)*$N$5)</f>
        <v/>
      </c>
      <c r="J264">
        <f>IF(C264="","",J263+$N$6*(C264*$N$5-J263))</f>
        <v/>
      </c>
      <c r="K264">
        <f>IF(B264="","",B264-B263)</f>
        <v/>
      </c>
    </row>
    <row r="265">
      <c r="G265">
        <f>IF(C265="","",C265*$N$5)</f>
        <v/>
      </c>
      <c r="H265">
        <f>IF(C265="","",AVERAGE(C262:C265)*$N$5)</f>
        <v/>
      </c>
      <c r="I265">
        <f>IF(C265="","",AVERAGE(C250:C265)*$N$5)</f>
        <v/>
      </c>
      <c r="J265">
        <f>IF(C265="","",J264+$N$6*(C265*$N$5-J264))</f>
        <v/>
      </c>
      <c r="K265">
        <f>IF(B265="","",B265-B264)</f>
        <v/>
      </c>
    </row>
    <row r="266">
      <c r="G266">
        <f>IF(C266="","",C266*$N$5)</f>
        <v/>
      </c>
      <c r="H266">
        <f>IF(C266="","",AVERAGE(C263:C266)*$N$5)</f>
        <v/>
      </c>
      <c r="I266">
        <f>IF(C266="","",AVERAGE(C251:C266)*$N$5)</f>
        <v/>
      </c>
      <c r="J266">
        <f>IF(C266="","",J265+$N$6*(C266*$N$5-J265))</f>
        <v/>
      </c>
      <c r="K266">
        <f>IF(B266="","",B266-B265)</f>
        <v/>
      </c>
    </row>
    <row r="267">
      <c r="G267">
        <f>IF(C267="","",C267*$N$5)</f>
        <v/>
      </c>
      <c r="H267">
        <f>IF(C267="","",AVERAGE(C264:C267)*$N$5)</f>
        <v/>
      </c>
      <c r="I267">
        <f>IF(C267="","",AVERAGE(C252:C267)*$N$5)</f>
        <v/>
      </c>
      <c r="J267">
        <f>IF(C267="","",J266+$N$6*(C267*$N$5-J266))</f>
        <v/>
      </c>
      <c r="K267">
        <f>IF(B267="","",B267-B266)</f>
        <v/>
      </c>
    </row>
    <row r="268">
      <c r="G268">
        <f>IF(C268="","",C268*$N$5)</f>
        <v/>
      </c>
      <c r="H268">
        <f>IF(C268="","",AVERAGE(C265:C268)*$N$5)</f>
        <v/>
      </c>
      <c r="I268">
        <f>IF(C268="","",AVERAGE(C253:C268)*$N$5)</f>
        <v/>
      </c>
      <c r="J268">
        <f>IF(C268="","",J267+$N$6*(C268*$N$5-J267))</f>
        <v/>
      </c>
      <c r="K268">
        <f>IF(B268="","",B268-B267)</f>
        <v/>
      </c>
    </row>
    <row r="269">
      <c r="G269">
        <f>IF(C269="","",C269*$N$5)</f>
        <v/>
      </c>
      <c r="H269">
        <f>IF(C269="","",AVERAGE(C266:C269)*$N$5)</f>
        <v/>
      </c>
      <c r="I269">
        <f>IF(C269="","",AVERAGE(C254:C269)*$N$5)</f>
        <v/>
      </c>
      <c r="J269">
        <f>IF(C269="","",J268+$N$6*(C269*$N$5-J268))</f>
        <v/>
      </c>
      <c r="K269">
        <f>IF(B269="","",B269-B268)</f>
        <v/>
      </c>
    </row>
    <row r="270">
      <c r="G270">
        <f>IF(C270="","",C270*$N$5)</f>
        <v/>
      </c>
      <c r="H270">
        <f>IF(C270="","",AVERAGE(C267:C270)*$N$5)</f>
        <v/>
      </c>
      <c r="I270">
        <f>IF(C270="","",AVERAGE(C255:C270)*$N$5)</f>
        <v/>
      </c>
      <c r="J270">
        <f>IF(C270="","",J269+$N$6*(C270*$N$5-J269))</f>
        <v/>
      </c>
      <c r="K270">
        <f>IF(B270="","",B270-B269)</f>
        <v/>
      </c>
    </row>
    <row r="271">
      <c r="G271">
        <f>IF(C271="","",C271*$N$5)</f>
        <v/>
      </c>
      <c r="H271">
        <f>IF(C271="","",AVERAGE(C268:C271)*$N$5)</f>
        <v/>
      </c>
      <c r="I271">
        <f>IF(C271="","",AVERAGE(C256:C271)*$N$5)</f>
        <v/>
      </c>
      <c r="J271">
        <f>IF(C271="","",J270+$N$6*(C271*$N$5-J270))</f>
        <v/>
      </c>
      <c r="K271">
        <f>IF(B271="","",B271-B270)</f>
        <v/>
      </c>
    </row>
    <row r="272">
      <c r="G272">
        <f>IF(C272="","",C272*$N$5)</f>
        <v/>
      </c>
      <c r="H272">
        <f>IF(C272="","",AVERAGE(C269:C272)*$N$5)</f>
        <v/>
      </c>
      <c r="I272">
        <f>IF(C272="","",AVERAGE(C257:C272)*$N$5)</f>
        <v/>
      </c>
      <c r="J272">
        <f>IF(C272="","",J271+$N$6*(C272*$N$5-J271))</f>
        <v/>
      </c>
      <c r="K272">
        <f>IF(B272="","",B272-B271)</f>
        <v/>
      </c>
    </row>
    <row r="273">
      <c r="G273">
        <f>IF(C273="","",C273*$N$5)</f>
        <v/>
      </c>
      <c r="H273">
        <f>IF(C273="","",AVERAGE(C270:C273)*$N$5)</f>
        <v/>
      </c>
      <c r="I273">
        <f>IF(C273="","",AVERAGE(C258:C273)*$N$5)</f>
        <v/>
      </c>
      <c r="J273">
        <f>IF(C273="","",J272+$N$6*(C273*$N$5-J272))</f>
        <v/>
      </c>
      <c r="K273">
        <f>IF(B273="","",B273-B272)</f>
        <v/>
      </c>
    </row>
    <row r="274">
      <c r="G274">
        <f>IF(C274="","",C274*$N$5)</f>
        <v/>
      </c>
      <c r="H274">
        <f>IF(C274="","",AVERAGE(C271:C274)*$N$5)</f>
        <v/>
      </c>
      <c r="I274">
        <f>IF(C274="","",AVERAGE(C259:C274)*$N$5)</f>
        <v/>
      </c>
      <c r="J274">
        <f>IF(C274="","",J273+$N$6*(C274*$N$5-J273))</f>
        <v/>
      </c>
      <c r="K274">
        <f>IF(B274="","",B274-B273)</f>
        <v/>
      </c>
    </row>
    <row r="275">
      <c r="G275">
        <f>IF(C275="","",C275*$N$5)</f>
        <v/>
      </c>
      <c r="H275">
        <f>IF(C275="","",AVERAGE(C272:C275)*$N$5)</f>
        <v/>
      </c>
      <c r="I275">
        <f>IF(C275="","",AVERAGE(C260:C275)*$N$5)</f>
        <v/>
      </c>
      <c r="J275">
        <f>IF(C275="","",J274+$N$6*(C275*$N$5-J274))</f>
        <v/>
      </c>
      <c r="K275">
        <f>IF(B275="","",B275-B274)</f>
        <v/>
      </c>
    </row>
    <row r="276">
      <c r="G276">
        <f>IF(C276="","",C276*$N$5)</f>
        <v/>
      </c>
      <c r="H276">
        <f>IF(C276="","",AVERAGE(C273:C276)*$N$5)</f>
        <v/>
      </c>
      <c r="I276">
        <f>IF(C276="","",AVERAGE(C261:C276)*$N$5)</f>
        <v/>
      </c>
      <c r="J276">
        <f>IF(C276="","",J275+$N$6*(C276*$N$5-J275))</f>
        <v/>
      </c>
      <c r="K276">
        <f>IF(B276="","",B276-B275)</f>
        <v/>
      </c>
    </row>
    <row r="277">
      <c r="G277">
        <f>IF(C277="","",C277*$N$5)</f>
        <v/>
      </c>
      <c r="H277">
        <f>IF(C277="","",AVERAGE(C274:C277)*$N$5)</f>
        <v/>
      </c>
      <c r="I277">
        <f>IF(C277="","",AVERAGE(C262:C277)*$N$5)</f>
        <v/>
      </c>
      <c r="J277">
        <f>IF(C277="","",J276+$N$6*(C277*$N$5-J276))</f>
        <v/>
      </c>
      <c r="K277">
        <f>IF(B277="","",B277-B276)</f>
        <v/>
      </c>
    </row>
    <row r="278">
      <c r="G278">
        <f>IF(C278="","",C278*$N$5)</f>
        <v/>
      </c>
      <c r="H278">
        <f>IF(C278="","",AVERAGE(C275:C278)*$N$5)</f>
        <v/>
      </c>
      <c r="I278">
        <f>IF(C278="","",AVERAGE(C263:C278)*$N$5)</f>
        <v/>
      </c>
      <c r="J278">
        <f>IF(C278="","",J277+$N$6*(C278*$N$5-J277))</f>
        <v/>
      </c>
      <c r="K278">
        <f>IF(B278="","",B278-B277)</f>
        <v/>
      </c>
    </row>
    <row r="279">
      <c r="G279">
        <f>IF(C279="","",C279*$N$5)</f>
        <v/>
      </c>
      <c r="H279">
        <f>IF(C279="","",AVERAGE(C276:C279)*$N$5)</f>
        <v/>
      </c>
      <c r="I279">
        <f>IF(C279="","",AVERAGE(C264:C279)*$N$5)</f>
        <v/>
      </c>
      <c r="J279">
        <f>IF(C279="","",J278+$N$6*(C279*$N$5-J278))</f>
        <v/>
      </c>
      <c r="K279">
        <f>IF(B279="","",B279-B278)</f>
        <v/>
      </c>
    </row>
    <row r="280">
      <c r="G280">
        <f>IF(C280="","",C280*$N$5)</f>
        <v/>
      </c>
      <c r="H280">
        <f>IF(C280="","",AVERAGE(C277:C280)*$N$5)</f>
        <v/>
      </c>
      <c r="I280">
        <f>IF(C280="","",AVERAGE(C265:C280)*$N$5)</f>
        <v/>
      </c>
      <c r="J280">
        <f>IF(C280="","",J279+$N$6*(C280*$N$5-J279))</f>
        <v/>
      </c>
      <c r="K280">
        <f>IF(B280="","",B280-B279)</f>
        <v/>
      </c>
    </row>
    <row r="281">
      <c r="G281">
        <f>IF(C281="","",C281*$N$5)</f>
        <v/>
      </c>
      <c r="H281">
        <f>IF(C281="","",AVERAGE(C278:C281)*$N$5)</f>
        <v/>
      </c>
      <c r="I281">
        <f>IF(C281="","",AVERAGE(C266:C281)*$N$5)</f>
        <v/>
      </c>
      <c r="J281">
        <f>IF(C281="","",J280+$N$6*(C281*$N$5-J280))</f>
        <v/>
      </c>
      <c r="K281">
        <f>IF(B281="","",B281-B280)</f>
        <v/>
      </c>
    </row>
    <row r="282">
      <c r="G282">
        <f>IF(C282="","",C282*$N$5)</f>
        <v/>
      </c>
      <c r="H282">
        <f>IF(C282="","",AVERAGE(C279:C282)*$N$5)</f>
        <v/>
      </c>
      <c r="I282">
        <f>IF(C282="","",AVERAGE(C267:C282)*$N$5)</f>
        <v/>
      </c>
      <c r="J282">
        <f>IF(C282="","",J281+$N$6*(C282*$N$5-J281))</f>
        <v/>
      </c>
      <c r="K282">
        <f>IF(B282="","",B282-B281)</f>
        <v/>
      </c>
    </row>
    <row r="283">
      <c r="G283">
        <f>IF(C283="","",C283*$N$5)</f>
        <v/>
      </c>
      <c r="H283">
        <f>IF(C283="","",AVERAGE(C280:C283)*$N$5)</f>
        <v/>
      </c>
      <c r="I283">
        <f>IF(C283="","",AVERAGE(C268:C283)*$N$5)</f>
        <v/>
      </c>
      <c r="J283">
        <f>IF(C283="","",J282+$N$6*(C283*$N$5-J282))</f>
        <v/>
      </c>
      <c r="K283">
        <f>IF(B283="","",B283-B282)</f>
        <v/>
      </c>
    </row>
    <row r="284">
      <c r="G284">
        <f>IF(C284="","",C284*$N$5)</f>
        <v/>
      </c>
      <c r="H284">
        <f>IF(C284="","",AVERAGE(C281:C284)*$N$5)</f>
        <v/>
      </c>
      <c r="I284">
        <f>IF(C284="","",AVERAGE(C269:C284)*$N$5)</f>
        <v/>
      </c>
      <c r="J284">
        <f>IF(C284="","",J283+$N$6*(C284*$N$5-J283))</f>
        <v/>
      </c>
      <c r="K284">
        <f>IF(B284="","",B284-B283)</f>
        <v/>
      </c>
    </row>
    <row r="285">
      <c r="G285">
        <f>IF(C285="","",C285*$N$5)</f>
        <v/>
      </c>
      <c r="H285">
        <f>IF(C285="","",AVERAGE(C282:C285)*$N$5)</f>
        <v/>
      </c>
      <c r="I285">
        <f>IF(C285="","",AVERAGE(C270:C285)*$N$5)</f>
        <v/>
      </c>
      <c r="J285">
        <f>IF(C285="","",J284+$N$6*(C285*$N$5-J284))</f>
        <v/>
      </c>
      <c r="K285">
        <f>IF(B285="","",B285-B284)</f>
        <v/>
      </c>
    </row>
    <row r="286">
      <c r="G286">
        <f>IF(C286="","",C286*$N$5)</f>
        <v/>
      </c>
      <c r="H286">
        <f>IF(C286="","",AVERAGE(C283:C286)*$N$5)</f>
        <v/>
      </c>
      <c r="I286">
        <f>IF(C286="","",AVERAGE(C271:C286)*$N$5)</f>
        <v/>
      </c>
      <c r="J286">
        <f>IF(C286="","",J285+$N$6*(C286*$N$5-J285))</f>
        <v/>
      </c>
      <c r="K286">
        <f>IF(B286="","",B286-B285)</f>
        <v/>
      </c>
    </row>
    <row r="287">
      <c r="G287">
        <f>IF(C287="","",C287*$N$5)</f>
        <v/>
      </c>
      <c r="H287">
        <f>IF(C287="","",AVERAGE(C284:C287)*$N$5)</f>
        <v/>
      </c>
      <c r="I287">
        <f>IF(C287="","",AVERAGE(C272:C287)*$N$5)</f>
        <v/>
      </c>
      <c r="J287">
        <f>IF(C287="","",J286+$N$6*(C287*$N$5-J286))</f>
        <v/>
      </c>
      <c r="K287">
        <f>IF(B287="","",B287-B286)</f>
        <v/>
      </c>
    </row>
    <row r="288">
      <c r="G288">
        <f>IF(C288="","",C288*$N$5)</f>
        <v/>
      </c>
      <c r="H288">
        <f>IF(C288="","",AVERAGE(C285:C288)*$N$5)</f>
        <v/>
      </c>
      <c r="I288">
        <f>IF(C288="","",AVERAGE(C273:C288)*$N$5)</f>
        <v/>
      </c>
      <c r="J288">
        <f>IF(C288="","",J287+$N$6*(C288*$N$5-J287))</f>
        <v/>
      </c>
      <c r="K288">
        <f>IF(B288="","",B288-B287)</f>
        <v/>
      </c>
    </row>
    <row r="289">
      <c r="G289">
        <f>IF(C289="","",C289*$N$5)</f>
        <v/>
      </c>
      <c r="H289">
        <f>IF(C289="","",AVERAGE(C286:C289)*$N$5)</f>
        <v/>
      </c>
      <c r="I289">
        <f>IF(C289="","",AVERAGE(C274:C289)*$N$5)</f>
        <v/>
      </c>
      <c r="J289">
        <f>IF(C289="","",J288+$N$6*(C289*$N$5-J288))</f>
        <v/>
      </c>
      <c r="K289">
        <f>IF(B289="","",B289-B288)</f>
        <v/>
      </c>
    </row>
    <row r="290">
      <c r="G290">
        <f>IF(C290="","",C290*$N$5)</f>
        <v/>
      </c>
      <c r="H290">
        <f>IF(C290="","",AVERAGE(C287:C290)*$N$5)</f>
        <v/>
      </c>
      <c r="I290">
        <f>IF(C290="","",AVERAGE(C275:C290)*$N$5)</f>
        <v/>
      </c>
      <c r="J290">
        <f>IF(C290="","",J289+$N$6*(C290*$N$5-J289))</f>
        <v/>
      </c>
      <c r="K290">
        <f>IF(B290="","",B290-B289)</f>
        <v/>
      </c>
    </row>
    <row r="291">
      <c r="G291">
        <f>IF(C291="","",C291*$N$5)</f>
        <v/>
      </c>
      <c r="H291">
        <f>IF(C291="","",AVERAGE(C288:C291)*$N$5)</f>
        <v/>
      </c>
      <c r="I291">
        <f>IF(C291="","",AVERAGE(C276:C291)*$N$5)</f>
        <v/>
      </c>
      <c r="J291">
        <f>IF(C291="","",J290+$N$6*(C291*$N$5-J290))</f>
        <v/>
      </c>
      <c r="K291">
        <f>IF(B291="","",B291-B290)</f>
        <v/>
      </c>
    </row>
    <row r="292">
      <c r="G292">
        <f>IF(C292="","",C292*$N$5)</f>
        <v/>
      </c>
      <c r="H292">
        <f>IF(C292="","",AVERAGE(C289:C292)*$N$5)</f>
        <v/>
      </c>
      <c r="I292">
        <f>IF(C292="","",AVERAGE(C277:C292)*$N$5)</f>
        <v/>
      </c>
      <c r="J292">
        <f>IF(C292="","",J291+$N$6*(C292*$N$5-J291))</f>
        <v/>
      </c>
      <c r="K292">
        <f>IF(B292="","",B292-B291)</f>
        <v/>
      </c>
    </row>
    <row r="293">
      <c r="G293">
        <f>IF(C293="","",C293*$N$5)</f>
        <v/>
      </c>
      <c r="H293">
        <f>IF(C293="","",AVERAGE(C290:C293)*$N$5)</f>
        <v/>
      </c>
      <c r="I293">
        <f>IF(C293="","",AVERAGE(C278:C293)*$N$5)</f>
        <v/>
      </c>
      <c r="J293">
        <f>IF(C293="","",J292+$N$6*(C293*$N$5-J292))</f>
        <v/>
      </c>
      <c r="K293">
        <f>IF(B293="","",B293-B292)</f>
        <v/>
      </c>
    </row>
    <row r="294">
      <c r="G294">
        <f>IF(C294="","",C294*$N$5)</f>
        <v/>
      </c>
      <c r="H294">
        <f>IF(C294="","",AVERAGE(C291:C294)*$N$5)</f>
        <v/>
      </c>
      <c r="I294">
        <f>IF(C294="","",AVERAGE(C279:C294)*$N$5)</f>
        <v/>
      </c>
      <c r="J294">
        <f>IF(C294="","",J293+$N$6*(C294*$N$5-J293))</f>
        <v/>
      </c>
      <c r="K294">
        <f>IF(B294="","",B294-B293)</f>
        <v/>
      </c>
    </row>
    <row r="295">
      <c r="G295">
        <f>IF(C295="","",C295*$N$5)</f>
        <v/>
      </c>
      <c r="H295">
        <f>IF(C295="","",AVERAGE(C292:C295)*$N$5)</f>
        <v/>
      </c>
      <c r="I295">
        <f>IF(C295="","",AVERAGE(C280:C295)*$N$5)</f>
        <v/>
      </c>
      <c r="J295">
        <f>IF(C295="","",J294+$N$6*(C295*$N$5-J294))</f>
        <v/>
      </c>
      <c r="K295">
        <f>IF(B295="","",B295-B294)</f>
        <v/>
      </c>
    </row>
    <row r="296">
      <c r="G296">
        <f>IF(C296="","",C296*$N$5)</f>
        <v/>
      </c>
      <c r="H296">
        <f>IF(C296="","",AVERAGE(C293:C296)*$N$5)</f>
        <v/>
      </c>
      <c r="I296">
        <f>IF(C296="","",AVERAGE(C281:C296)*$N$5)</f>
        <v/>
      </c>
      <c r="J296">
        <f>IF(C296="","",J295+$N$6*(C296*$N$5-J295))</f>
        <v/>
      </c>
      <c r="K296">
        <f>IF(B296="","",B296-B295)</f>
        <v/>
      </c>
    </row>
    <row r="297">
      <c r="G297">
        <f>IF(C297="","",C297*$N$5)</f>
        <v/>
      </c>
      <c r="H297">
        <f>IF(C297="","",AVERAGE(C294:C297)*$N$5)</f>
        <v/>
      </c>
      <c r="I297">
        <f>IF(C297="","",AVERAGE(C282:C297)*$N$5)</f>
        <v/>
      </c>
      <c r="J297">
        <f>IF(C297="","",J296+$N$6*(C297*$N$5-J296))</f>
        <v/>
      </c>
      <c r="K297">
        <f>IF(B297="","",B297-B296)</f>
        <v/>
      </c>
    </row>
    <row r="298">
      <c r="G298">
        <f>IF(C298="","",C298*$N$5)</f>
        <v/>
      </c>
      <c r="H298">
        <f>IF(C298="","",AVERAGE(C295:C298)*$N$5)</f>
        <v/>
      </c>
      <c r="I298">
        <f>IF(C298="","",AVERAGE(C283:C298)*$N$5)</f>
        <v/>
      </c>
      <c r="J298">
        <f>IF(C298="","",J297+$N$6*(C298*$N$5-J297))</f>
        <v/>
      </c>
      <c r="K298">
        <f>IF(B298="","",B298-B297)</f>
        <v/>
      </c>
    </row>
    <row r="299">
      <c r="G299">
        <f>IF(C299="","",C299*$N$5)</f>
        <v/>
      </c>
      <c r="H299">
        <f>IF(C299="","",AVERAGE(C296:C299)*$N$5)</f>
        <v/>
      </c>
      <c r="I299">
        <f>IF(C299="","",AVERAGE(C284:C299)*$N$5)</f>
        <v/>
      </c>
      <c r="J299">
        <f>IF(C299="","",J298+$N$6*(C299*$N$5-J298))</f>
        <v/>
      </c>
      <c r="K299">
        <f>IF(B299="","",B299-B298)</f>
        <v/>
      </c>
    </row>
    <row r="300">
      <c r="G300">
        <f>IF(C300="","",C300*$N$5)</f>
        <v/>
      </c>
      <c r="H300">
        <f>IF(C300="","",AVERAGE(C297:C300)*$N$5)</f>
        <v/>
      </c>
      <c r="I300">
        <f>IF(C300="","",AVERAGE(C285:C300)*$N$5)</f>
        <v/>
      </c>
      <c r="J300">
        <f>IF(C300="","",J299+$N$6*(C300*$N$5-J299))</f>
        <v/>
      </c>
      <c r="K300">
        <f>IF(B300="","",B300-B299)</f>
        <v/>
      </c>
    </row>
    <row r="301">
      <c r="G301">
        <f>IF(C301="","",C301*$N$5)</f>
        <v/>
      </c>
      <c r="H301">
        <f>IF(C301="","",AVERAGE(C298:C301)*$N$5)</f>
        <v/>
      </c>
      <c r="I301">
        <f>IF(C301="","",AVERAGE(C286:C301)*$N$5)</f>
        <v/>
      </c>
      <c r="J301">
        <f>IF(C301="","",J300+$N$6*(C301*$N$5-J300))</f>
        <v/>
      </c>
      <c r="K301">
        <f>IF(B301="","",B301-B300)</f>
        <v/>
      </c>
    </row>
    <row r="302">
      <c r="G302">
        <f>IF(C302="","",C302*$N$5)</f>
        <v/>
      </c>
      <c r="H302">
        <f>IF(C302="","",AVERAGE(C299:C302)*$N$5)</f>
        <v/>
      </c>
      <c r="I302">
        <f>IF(C302="","",AVERAGE(C287:C302)*$N$5)</f>
        <v/>
      </c>
      <c r="J302">
        <f>IF(C302="","",J301+$N$6*(C302*$N$5-J301))</f>
        <v/>
      </c>
      <c r="K302">
        <f>IF(B302="","",B302-B301)</f>
        <v/>
      </c>
    </row>
    <row r="303">
      <c r="G303">
        <f>IF(C303="","",C303*$N$5)</f>
        <v/>
      </c>
      <c r="H303">
        <f>IF(C303="","",AVERAGE(C300:C303)*$N$5)</f>
        <v/>
      </c>
      <c r="I303">
        <f>IF(C303="","",AVERAGE(C288:C303)*$N$5)</f>
        <v/>
      </c>
      <c r="J303">
        <f>IF(C303="","",J302+$N$6*(C303*$N$5-J302))</f>
        <v/>
      </c>
      <c r="K303">
        <f>IF(B303="","",B303-B302)</f>
        <v/>
      </c>
    </row>
    <row r="304">
      <c r="G304">
        <f>IF(C304="","",C304*$N$5)</f>
        <v/>
      </c>
      <c r="H304">
        <f>IF(C304="","",AVERAGE(C301:C304)*$N$5)</f>
        <v/>
      </c>
      <c r="I304">
        <f>IF(C304="","",AVERAGE(C289:C304)*$N$5)</f>
        <v/>
      </c>
      <c r="J304">
        <f>IF(C304="","",J303+$N$6*(C304*$N$5-J303))</f>
        <v/>
      </c>
      <c r="K304">
        <f>IF(B304="","",B304-B303)</f>
        <v/>
      </c>
    </row>
    <row r="305">
      <c r="G305">
        <f>IF(C305="","",C305*$N$5)</f>
        <v/>
      </c>
      <c r="H305">
        <f>IF(C305="","",AVERAGE(C302:C305)*$N$5)</f>
        <v/>
      </c>
      <c r="I305">
        <f>IF(C305="","",AVERAGE(C290:C305)*$N$5)</f>
        <v/>
      </c>
      <c r="J305">
        <f>IF(C305="","",J304+$N$6*(C305*$N$5-J304))</f>
        <v/>
      </c>
      <c r="K305">
        <f>IF(B305="","",B305-B304)</f>
        <v/>
      </c>
    </row>
    <row r="306">
      <c r="G306">
        <f>IF(C306="","",C306*$N$5)</f>
        <v/>
      </c>
      <c r="H306">
        <f>IF(C306="","",AVERAGE(C303:C306)*$N$5)</f>
        <v/>
      </c>
      <c r="I306">
        <f>IF(C306="","",AVERAGE(C291:C306)*$N$5)</f>
        <v/>
      </c>
      <c r="J306">
        <f>IF(C306="","",J305+$N$6*(C306*$N$5-J305))</f>
        <v/>
      </c>
      <c r="K306">
        <f>IF(B306="","",B306-B305)</f>
        <v/>
      </c>
    </row>
    <row r="307">
      <c r="G307">
        <f>IF(C307="","",C307*$N$5)</f>
        <v/>
      </c>
      <c r="H307">
        <f>IF(C307="","",AVERAGE(C304:C307)*$N$5)</f>
        <v/>
      </c>
      <c r="I307">
        <f>IF(C307="","",AVERAGE(C292:C307)*$N$5)</f>
        <v/>
      </c>
      <c r="J307">
        <f>IF(C307="","",J306+$N$6*(C307*$N$5-J306))</f>
        <v/>
      </c>
      <c r="K307">
        <f>IF(B307="","",B307-B306)</f>
        <v/>
      </c>
    </row>
    <row r="308">
      <c r="G308">
        <f>IF(C308="","",C308*$N$5)</f>
        <v/>
      </c>
      <c r="H308">
        <f>IF(C308="","",AVERAGE(C305:C308)*$N$5)</f>
        <v/>
      </c>
      <c r="I308">
        <f>IF(C308="","",AVERAGE(C293:C308)*$N$5)</f>
        <v/>
      </c>
      <c r="J308">
        <f>IF(C308="","",J307+$N$6*(C308*$N$5-J307))</f>
        <v/>
      </c>
      <c r="K308">
        <f>IF(B308="","",B308-B307)</f>
        <v/>
      </c>
    </row>
    <row r="309">
      <c r="G309">
        <f>IF(C309="","",C309*$N$5)</f>
        <v/>
      </c>
      <c r="H309">
        <f>IF(C309="","",AVERAGE(C306:C309)*$N$5)</f>
        <v/>
      </c>
      <c r="I309">
        <f>IF(C309="","",AVERAGE(C294:C309)*$N$5)</f>
        <v/>
      </c>
      <c r="J309">
        <f>IF(C309="","",J308+$N$6*(C309*$N$5-J308))</f>
        <v/>
      </c>
      <c r="K309">
        <f>IF(B309="","",B309-B308)</f>
        <v/>
      </c>
    </row>
    <row r="310">
      <c r="G310">
        <f>IF(C310="","",C310*$N$5)</f>
        <v/>
      </c>
      <c r="H310">
        <f>IF(C310="","",AVERAGE(C307:C310)*$N$5)</f>
        <v/>
      </c>
      <c r="I310">
        <f>IF(C310="","",AVERAGE(C295:C310)*$N$5)</f>
        <v/>
      </c>
      <c r="J310">
        <f>IF(C310="","",J309+$N$6*(C310*$N$5-J309))</f>
        <v/>
      </c>
      <c r="K310">
        <f>IF(B310="","",B310-B309)</f>
        <v/>
      </c>
    </row>
    <row r="311">
      <c r="G311">
        <f>IF(C311="","",C311*$N$5)</f>
        <v/>
      </c>
      <c r="H311">
        <f>IF(C311="","",AVERAGE(C308:C311)*$N$5)</f>
        <v/>
      </c>
      <c r="I311">
        <f>IF(C311="","",AVERAGE(C296:C311)*$N$5)</f>
        <v/>
      </c>
      <c r="J311">
        <f>IF(C311="","",J310+$N$6*(C311*$N$5-J310))</f>
        <v/>
      </c>
      <c r="K311">
        <f>IF(B311="","",B311-B310)</f>
        <v/>
      </c>
    </row>
    <row r="312">
      <c r="G312">
        <f>IF(C312="","",C312*$N$5)</f>
        <v/>
      </c>
      <c r="H312">
        <f>IF(C312="","",AVERAGE(C309:C312)*$N$5)</f>
        <v/>
      </c>
      <c r="I312">
        <f>IF(C312="","",AVERAGE(C297:C312)*$N$5)</f>
        <v/>
      </c>
      <c r="J312">
        <f>IF(C312="","",J311+$N$6*(C312*$N$5-J311))</f>
        <v/>
      </c>
      <c r="K312">
        <f>IF(B312="","",B312-B311)</f>
        <v/>
      </c>
    </row>
    <row r="313">
      <c r="G313">
        <f>IF(C313="","",C313*$N$5)</f>
        <v/>
      </c>
      <c r="H313">
        <f>IF(C313="","",AVERAGE(C310:C313)*$N$5)</f>
        <v/>
      </c>
      <c r="I313">
        <f>IF(C313="","",AVERAGE(C298:C313)*$N$5)</f>
        <v/>
      </c>
      <c r="J313">
        <f>IF(C313="","",J312+$N$6*(C313*$N$5-J312))</f>
        <v/>
      </c>
      <c r="K313">
        <f>IF(B313="","",B313-B312)</f>
        <v/>
      </c>
    </row>
    <row r="314">
      <c r="G314">
        <f>IF(C314="","",C314*$N$5)</f>
        <v/>
      </c>
      <c r="H314">
        <f>IF(C314="","",AVERAGE(C311:C314)*$N$5)</f>
        <v/>
      </c>
      <c r="I314">
        <f>IF(C314="","",AVERAGE(C299:C314)*$N$5)</f>
        <v/>
      </c>
      <c r="J314">
        <f>IF(C314="","",J313+$N$6*(C314*$N$5-J313))</f>
        <v/>
      </c>
      <c r="K314">
        <f>IF(B314="","",B314-B313)</f>
        <v/>
      </c>
    </row>
    <row r="315">
      <c r="G315">
        <f>IF(C315="","",C315*$N$5)</f>
        <v/>
      </c>
      <c r="H315">
        <f>IF(C315="","",AVERAGE(C312:C315)*$N$5)</f>
        <v/>
      </c>
      <c r="I315">
        <f>IF(C315="","",AVERAGE(C300:C315)*$N$5)</f>
        <v/>
      </c>
      <c r="J315">
        <f>IF(C315="","",J314+$N$6*(C315*$N$5-J314))</f>
        <v/>
      </c>
      <c r="K315">
        <f>IF(B315="","",B315-B314)</f>
        <v/>
      </c>
    </row>
    <row r="316">
      <c r="G316">
        <f>IF(C316="","",C316*$N$5)</f>
        <v/>
      </c>
      <c r="H316">
        <f>IF(C316="","",AVERAGE(C313:C316)*$N$5)</f>
        <v/>
      </c>
      <c r="I316">
        <f>IF(C316="","",AVERAGE(C301:C316)*$N$5)</f>
        <v/>
      </c>
      <c r="J316">
        <f>IF(C316="","",J315+$N$6*(C316*$N$5-J315))</f>
        <v/>
      </c>
      <c r="K316">
        <f>IF(B316="","",B316-B315)</f>
        <v/>
      </c>
    </row>
    <row r="317">
      <c r="G317">
        <f>IF(C317="","",C317*$N$5)</f>
        <v/>
      </c>
      <c r="H317">
        <f>IF(C317="","",AVERAGE(C314:C317)*$N$5)</f>
        <v/>
      </c>
      <c r="I317">
        <f>IF(C317="","",AVERAGE(C302:C317)*$N$5)</f>
        <v/>
      </c>
      <c r="J317">
        <f>IF(C317="","",J316+$N$6*(C317*$N$5-J316))</f>
        <v/>
      </c>
      <c r="K317">
        <f>IF(B317="","",B317-B316)</f>
        <v/>
      </c>
    </row>
    <row r="318">
      <c r="G318">
        <f>IF(C318="","",C318*$N$5)</f>
        <v/>
      </c>
      <c r="H318">
        <f>IF(C318="","",AVERAGE(C315:C318)*$N$5)</f>
        <v/>
      </c>
      <c r="I318">
        <f>IF(C318="","",AVERAGE(C303:C318)*$N$5)</f>
        <v/>
      </c>
      <c r="J318">
        <f>IF(C318="","",J317+$N$6*(C318*$N$5-J317))</f>
        <v/>
      </c>
      <c r="K318">
        <f>IF(B318="","",B318-B317)</f>
        <v/>
      </c>
    </row>
    <row r="319">
      <c r="G319">
        <f>IF(C319="","",C319*$N$5)</f>
        <v/>
      </c>
      <c r="H319">
        <f>IF(C319="","",AVERAGE(C316:C319)*$N$5)</f>
        <v/>
      </c>
      <c r="I319">
        <f>IF(C319="","",AVERAGE(C304:C319)*$N$5)</f>
        <v/>
      </c>
      <c r="J319">
        <f>IF(C319="","",J318+$N$6*(C319*$N$5-J318))</f>
        <v/>
      </c>
      <c r="K319">
        <f>IF(B319="","",B319-B318)</f>
        <v/>
      </c>
    </row>
    <row r="320">
      <c r="G320">
        <f>IF(C320="","",C320*$N$5)</f>
        <v/>
      </c>
      <c r="H320">
        <f>IF(C320="","",AVERAGE(C317:C320)*$N$5)</f>
        <v/>
      </c>
      <c r="I320">
        <f>IF(C320="","",AVERAGE(C305:C320)*$N$5)</f>
        <v/>
      </c>
      <c r="J320">
        <f>IF(C320="","",J319+$N$6*(C320*$N$5-J319))</f>
        <v/>
      </c>
      <c r="K320">
        <f>IF(B320="","",B320-B319)</f>
        <v/>
      </c>
    </row>
    <row r="321">
      <c r="G321">
        <f>IF(C321="","",C321*$N$5)</f>
        <v/>
      </c>
      <c r="H321">
        <f>IF(C321="","",AVERAGE(C318:C321)*$N$5)</f>
        <v/>
      </c>
      <c r="I321">
        <f>IF(C321="","",AVERAGE(C306:C321)*$N$5)</f>
        <v/>
      </c>
      <c r="J321">
        <f>IF(C321="","",J320+$N$6*(C321*$N$5-J320))</f>
        <v/>
      </c>
      <c r="K321">
        <f>IF(B321="","",B321-B320)</f>
        <v/>
      </c>
    </row>
    <row r="322">
      <c r="G322">
        <f>IF(C322="","",C322*$N$5)</f>
        <v/>
      </c>
      <c r="H322">
        <f>IF(C322="","",AVERAGE(C319:C322)*$N$5)</f>
        <v/>
      </c>
      <c r="I322">
        <f>IF(C322="","",AVERAGE(C307:C322)*$N$5)</f>
        <v/>
      </c>
      <c r="J322">
        <f>IF(C322="","",J321+$N$6*(C322*$N$5-J321))</f>
        <v/>
      </c>
      <c r="K322">
        <f>IF(B322="","",B322-B321)</f>
        <v/>
      </c>
    </row>
    <row r="323">
      <c r="G323">
        <f>IF(C323="","",C323*$N$5)</f>
        <v/>
      </c>
      <c r="H323">
        <f>IF(C323="","",AVERAGE(C320:C323)*$N$5)</f>
        <v/>
      </c>
      <c r="I323">
        <f>IF(C323="","",AVERAGE(C308:C323)*$N$5)</f>
        <v/>
      </c>
      <c r="J323">
        <f>IF(C323="","",J322+$N$6*(C323*$N$5-J322))</f>
        <v/>
      </c>
      <c r="K323">
        <f>IF(B323="","",B323-B322)</f>
        <v/>
      </c>
    </row>
    <row r="324">
      <c r="G324">
        <f>IF(C324="","",C324*$N$5)</f>
        <v/>
      </c>
      <c r="H324">
        <f>IF(C324="","",AVERAGE(C321:C324)*$N$5)</f>
        <v/>
      </c>
      <c r="I324">
        <f>IF(C324="","",AVERAGE(C309:C324)*$N$5)</f>
        <v/>
      </c>
      <c r="J324">
        <f>IF(C324="","",J323+$N$6*(C324*$N$5-J323))</f>
        <v/>
      </c>
      <c r="K324">
        <f>IF(B324="","",B324-B323)</f>
        <v/>
      </c>
    </row>
    <row r="325">
      <c r="G325">
        <f>IF(C325="","",C325*$N$5)</f>
        <v/>
      </c>
      <c r="H325">
        <f>IF(C325="","",AVERAGE(C322:C325)*$N$5)</f>
        <v/>
      </c>
      <c r="I325">
        <f>IF(C325="","",AVERAGE(C310:C325)*$N$5)</f>
        <v/>
      </c>
      <c r="J325">
        <f>IF(C325="","",J324+$N$6*(C325*$N$5-J324))</f>
        <v/>
      </c>
      <c r="K325">
        <f>IF(B325="","",B325-B324)</f>
        <v/>
      </c>
    </row>
    <row r="326">
      <c r="G326">
        <f>IF(C326="","",C326*$N$5)</f>
        <v/>
      </c>
      <c r="H326">
        <f>IF(C326="","",AVERAGE(C323:C326)*$N$5)</f>
        <v/>
      </c>
      <c r="I326">
        <f>IF(C326="","",AVERAGE(C311:C326)*$N$5)</f>
        <v/>
      </c>
      <c r="J326">
        <f>IF(C326="","",J325+$N$6*(C326*$N$5-J325))</f>
        <v/>
      </c>
      <c r="K326">
        <f>IF(B326="","",B326-B325)</f>
        <v/>
      </c>
    </row>
    <row r="327">
      <c r="G327">
        <f>IF(C327="","",C327*$N$5)</f>
        <v/>
      </c>
      <c r="H327">
        <f>IF(C327="","",AVERAGE(C324:C327)*$N$5)</f>
        <v/>
      </c>
      <c r="I327">
        <f>IF(C327="","",AVERAGE(C312:C327)*$N$5)</f>
        <v/>
      </c>
      <c r="J327">
        <f>IF(C327="","",J326+$N$6*(C327*$N$5-J326))</f>
        <v/>
      </c>
      <c r="K327">
        <f>IF(B327="","",B327-B326)</f>
        <v/>
      </c>
    </row>
    <row r="328">
      <c r="G328">
        <f>IF(C328="","",C328*$N$5)</f>
        <v/>
      </c>
      <c r="H328">
        <f>IF(C328="","",AVERAGE(C325:C328)*$N$5)</f>
        <v/>
      </c>
      <c r="I328">
        <f>IF(C328="","",AVERAGE(C313:C328)*$N$5)</f>
        <v/>
      </c>
      <c r="J328">
        <f>IF(C328="","",J327+$N$6*(C328*$N$5-J327))</f>
        <v/>
      </c>
      <c r="K328">
        <f>IF(B328="","",B328-B327)</f>
        <v/>
      </c>
    </row>
    <row r="329">
      <c r="G329">
        <f>IF(C329="","",C329*$N$5)</f>
        <v/>
      </c>
      <c r="H329">
        <f>IF(C329="","",AVERAGE(C326:C329)*$N$5)</f>
        <v/>
      </c>
      <c r="I329">
        <f>IF(C329="","",AVERAGE(C314:C329)*$N$5)</f>
        <v/>
      </c>
      <c r="J329">
        <f>IF(C329="","",J328+$N$6*(C329*$N$5-J328))</f>
        <v/>
      </c>
      <c r="K329">
        <f>IF(B329="","",B329-B328)</f>
        <v/>
      </c>
    </row>
    <row r="330">
      <c r="G330">
        <f>IF(C330="","",C330*$N$5)</f>
        <v/>
      </c>
      <c r="H330">
        <f>IF(C330="","",AVERAGE(C327:C330)*$N$5)</f>
        <v/>
      </c>
      <c r="I330">
        <f>IF(C330="","",AVERAGE(C315:C330)*$N$5)</f>
        <v/>
      </c>
      <c r="J330">
        <f>IF(C330="","",J329+$N$6*(C330*$N$5-J329))</f>
        <v/>
      </c>
      <c r="K330">
        <f>IF(B330="","",B330-B329)</f>
        <v/>
      </c>
    </row>
    <row r="331">
      <c r="G331">
        <f>IF(C331="","",C331*$N$5)</f>
        <v/>
      </c>
      <c r="H331">
        <f>IF(C331="","",AVERAGE(C328:C331)*$N$5)</f>
        <v/>
      </c>
      <c r="I331">
        <f>IF(C331="","",AVERAGE(C316:C331)*$N$5)</f>
        <v/>
      </c>
      <c r="J331">
        <f>IF(C331="","",J330+$N$6*(C331*$N$5-J330))</f>
        <v/>
      </c>
      <c r="K331">
        <f>IF(B331="","",B331-B330)</f>
        <v/>
      </c>
    </row>
    <row r="332">
      <c r="G332">
        <f>IF(C332="","",C332*$N$5)</f>
        <v/>
      </c>
      <c r="H332">
        <f>IF(C332="","",AVERAGE(C329:C332)*$N$5)</f>
        <v/>
      </c>
      <c r="I332">
        <f>IF(C332="","",AVERAGE(C317:C332)*$N$5)</f>
        <v/>
      </c>
      <c r="J332">
        <f>IF(C332="","",J331+$N$6*(C332*$N$5-J331))</f>
        <v/>
      </c>
      <c r="K332">
        <f>IF(B332="","",B332-B331)</f>
        <v/>
      </c>
    </row>
    <row r="333">
      <c r="G333">
        <f>IF(C333="","",C333*$N$5)</f>
        <v/>
      </c>
      <c r="H333">
        <f>IF(C333="","",AVERAGE(C330:C333)*$N$5)</f>
        <v/>
      </c>
      <c r="I333">
        <f>IF(C333="","",AVERAGE(C318:C333)*$N$5)</f>
        <v/>
      </c>
      <c r="J333">
        <f>IF(C333="","",J332+$N$6*(C333*$N$5-J332))</f>
        <v/>
      </c>
      <c r="K333">
        <f>IF(B333="","",B333-B332)</f>
        <v/>
      </c>
    </row>
    <row r="334">
      <c r="G334">
        <f>IF(C334="","",C334*$N$5)</f>
        <v/>
      </c>
      <c r="H334">
        <f>IF(C334="","",AVERAGE(C331:C334)*$N$5)</f>
        <v/>
      </c>
      <c r="I334">
        <f>IF(C334="","",AVERAGE(C319:C334)*$N$5)</f>
        <v/>
      </c>
      <c r="J334">
        <f>IF(C334="","",J333+$N$6*(C334*$N$5-J333))</f>
        <v/>
      </c>
      <c r="K334">
        <f>IF(B334="","",B334-B333)</f>
        <v/>
      </c>
    </row>
    <row r="335">
      <c r="G335">
        <f>IF(C335="","",C335*$N$5)</f>
        <v/>
      </c>
      <c r="H335">
        <f>IF(C335="","",AVERAGE(C332:C335)*$N$5)</f>
        <v/>
      </c>
      <c r="I335">
        <f>IF(C335="","",AVERAGE(C320:C335)*$N$5)</f>
        <v/>
      </c>
      <c r="J335">
        <f>IF(C335="","",J334+$N$6*(C335*$N$5-J334))</f>
        <v/>
      </c>
      <c r="K335">
        <f>IF(B335="","",B335-B334)</f>
        <v/>
      </c>
    </row>
    <row r="336">
      <c r="G336">
        <f>IF(C336="","",C336*$N$5)</f>
        <v/>
      </c>
      <c r="H336">
        <f>IF(C336="","",AVERAGE(C333:C336)*$N$5)</f>
        <v/>
      </c>
      <c r="I336">
        <f>IF(C336="","",AVERAGE(C321:C336)*$N$5)</f>
        <v/>
      </c>
      <c r="J336">
        <f>IF(C336="","",J335+$N$6*(C336*$N$5-J335))</f>
        <v/>
      </c>
      <c r="K336">
        <f>IF(B336="","",B336-B335)</f>
        <v/>
      </c>
    </row>
    <row r="337">
      <c r="G337">
        <f>IF(C337="","",C337*$N$5)</f>
        <v/>
      </c>
      <c r="H337">
        <f>IF(C337="","",AVERAGE(C334:C337)*$N$5)</f>
        <v/>
      </c>
      <c r="I337">
        <f>IF(C337="","",AVERAGE(C322:C337)*$N$5)</f>
        <v/>
      </c>
      <c r="J337">
        <f>IF(C337="","",J336+$N$6*(C337*$N$5-J336))</f>
        <v/>
      </c>
      <c r="K337">
        <f>IF(B337="","",B337-B336)</f>
        <v/>
      </c>
    </row>
    <row r="338">
      <c r="G338">
        <f>IF(C338="","",C338*$N$5)</f>
        <v/>
      </c>
      <c r="H338">
        <f>IF(C338="","",AVERAGE(C335:C338)*$N$5)</f>
        <v/>
      </c>
      <c r="I338">
        <f>IF(C338="","",AVERAGE(C323:C338)*$N$5)</f>
        <v/>
      </c>
      <c r="J338">
        <f>IF(C338="","",J337+$N$6*(C338*$N$5-J337))</f>
        <v/>
      </c>
      <c r="K338">
        <f>IF(B338="","",B338-B337)</f>
        <v/>
      </c>
    </row>
    <row r="339">
      <c r="G339">
        <f>IF(C339="","",C339*$N$5)</f>
        <v/>
      </c>
      <c r="H339">
        <f>IF(C339="","",AVERAGE(C336:C339)*$N$5)</f>
        <v/>
      </c>
      <c r="I339">
        <f>IF(C339="","",AVERAGE(C324:C339)*$N$5)</f>
        <v/>
      </c>
      <c r="J339">
        <f>IF(C339="","",J338+$N$6*(C339*$N$5-J338))</f>
        <v/>
      </c>
      <c r="K339">
        <f>IF(B339="","",B339-B338)</f>
        <v/>
      </c>
    </row>
    <row r="340">
      <c r="G340">
        <f>IF(C340="","",C340*$N$5)</f>
        <v/>
      </c>
      <c r="H340">
        <f>IF(C340="","",AVERAGE(C337:C340)*$N$5)</f>
        <v/>
      </c>
      <c r="I340">
        <f>IF(C340="","",AVERAGE(C325:C340)*$N$5)</f>
        <v/>
      </c>
      <c r="J340">
        <f>IF(C340="","",J339+$N$6*(C340*$N$5-J339))</f>
        <v/>
      </c>
      <c r="K340">
        <f>IF(B340="","",B340-B339)</f>
        <v/>
      </c>
    </row>
    <row r="341">
      <c r="G341">
        <f>IF(C341="","",C341*$N$5)</f>
        <v/>
      </c>
      <c r="H341">
        <f>IF(C341="","",AVERAGE(C338:C341)*$N$5)</f>
        <v/>
      </c>
      <c r="I341">
        <f>IF(C341="","",AVERAGE(C326:C341)*$N$5)</f>
        <v/>
      </c>
      <c r="J341">
        <f>IF(C341="","",J340+$N$6*(C341*$N$5-J340))</f>
        <v/>
      </c>
      <c r="K341">
        <f>IF(B341="","",B341-B340)</f>
        <v/>
      </c>
    </row>
    <row r="342">
      <c r="G342">
        <f>IF(C342="","",C342*$N$5)</f>
        <v/>
      </c>
      <c r="H342">
        <f>IF(C342="","",AVERAGE(C339:C342)*$N$5)</f>
        <v/>
      </c>
      <c r="I342">
        <f>IF(C342="","",AVERAGE(C327:C342)*$N$5)</f>
        <v/>
      </c>
      <c r="J342">
        <f>IF(C342="","",J341+$N$6*(C342*$N$5-J341))</f>
        <v/>
      </c>
      <c r="K342">
        <f>IF(B342="","",B342-B341)</f>
        <v/>
      </c>
    </row>
    <row r="343">
      <c r="G343">
        <f>IF(C343="","",C343*$N$5)</f>
        <v/>
      </c>
      <c r="H343">
        <f>IF(C343="","",AVERAGE(C340:C343)*$N$5)</f>
        <v/>
      </c>
      <c r="I343">
        <f>IF(C343="","",AVERAGE(C328:C343)*$N$5)</f>
        <v/>
      </c>
      <c r="J343">
        <f>IF(C343="","",J342+$N$6*(C343*$N$5-J342))</f>
        <v/>
      </c>
      <c r="K343">
        <f>IF(B343="","",B343-B342)</f>
        <v/>
      </c>
    </row>
    <row r="344">
      <c r="G344">
        <f>IF(C344="","",C344*$N$5)</f>
        <v/>
      </c>
      <c r="H344">
        <f>IF(C344="","",AVERAGE(C341:C344)*$N$5)</f>
        <v/>
      </c>
      <c r="I344">
        <f>IF(C344="","",AVERAGE(C329:C344)*$N$5)</f>
        <v/>
      </c>
      <c r="J344">
        <f>IF(C344="","",J343+$N$6*(C344*$N$5-J343))</f>
        <v/>
      </c>
      <c r="K344">
        <f>IF(B344="","",B344-B343)</f>
        <v/>
      </c>
    </row>
    <row r="345">
      <c r="G345">
        <f>IF(C345="","",C345*$N$5)</f>
        <v/>
      </c>
      <c r="H345">
        <f>IF(C345="","",AVERAGE(C342:C345)*$N$5)</f>
        <v/>
      </c>
      <c r="I345">
        <f>IF(C345="","",AVERAGE(C330:C345)*$N$5)</f>
        <v/>
      </c>
      <c r="J345">
        <f>IF(C345="","",J344+$N$6*(C345*$N$5-J344))</f>
        <v/>
      </c>
      <c r="K345">
        <f>IF(B345="","",B345-B344)</f>
        <v/>
      </c>
    </row>
    <row r="346">
      <c r="G346">
        <f>IF(C346="","",C346*$N$5)</f>
        <v/>
      </c>
      <c r="H346">
        <f>IF(C346="","",AVERAGE(C343:C346)*$N$5)</f>
        <v/>
      </c>
      <c r="I346">
        <f>IF(C346="","",AVERAGE(C331:C346)*$N$5)</f>
        <v/>
      </c>
      <c r="J346">
        <f>IF(C346="","",J345+$N$6*(C346*$N$5-J345))</f>
        <v/>
      </c>
      <c r="K346">
        <f>IF(B346="","",B346-B345)</f>
        <v/>
      </c>
    </row>
    <row r="347">
      <c r="G347">
        <f>IF(C347="","",C347*$N$5)</f>
        <v/>
      </c>
      <c r="H347">
        <f>IF(C347="","",AVERAGE(C344:C347)*$N$5)</f>
        <v/>
      </c>
      <c r="I347">
        <f>IF(C347="","",AVERAGE(C332:C347)*$N$5)</f>
        <v/>
      </c>
      <c r="J347">
        <f>IF(C347="","",J346+$N$6*(C347*$N$5-J346))</f>
        <v/>
      </c>
      <c r="K347">
        <f>IF(B347="","",B347-B346)</f>
        <v/>
      </c>
    </row>
    <row r="348">
      <c r="G348">
        <f>IF(C348="","",C348*$N$5)</f>
        <v/>
      </c>
      <c r="H348">
        <f>IF(C348="","",AVERAGE(C345:C348)*$N$5)</f>
        <v/>
      </c>
      <c r="I348">
        <f>IF(C348="","",AVERAGE(C333:C348)*$N$5)</f>
        <v/>
      </c>
      <c r="J348">
        <f>IF(C348="","",J347+$N$6*(C348*$N$5-J347))</f>
        <v/>
      </c>
      <c r="K348">
        <f>IF(B348="","",B348-B347)</f>
        <v/>
      </c>
    </row>
    <row r="349">
      <c r="G349">
        <f>IF(C349="","",C349*$N$5)</f>
        <v/>
      </c>
      <c r="H349">
        <f>IF(C349="","",AVERAGE(C346:C349)*$N$5)</f>
        <v/>
      </c>
      <c r="I349">
        <f>IF(C349="","",AVERAGE(C334:C349)*$N$5)</f>
        <v/>
      </c>
      <c r="J349">
        <f>IF(C349="","",J348+$N$6*(C349*$N$5-J348))</f>
        <v/>
      </c>
      <c r="K349">
        <f>IF(B349="","",B349-B348)</f>
        <v/>
      </c>
    </row>
    <row r="350">
      <c r="G350">
        <f>IF(C350="","",C350*$N$5)</f>
        <v/>
      </c>
      <c r="H350">
        <f>IF(C350="","",AVERAGE(C347:C350)*$N$5)</f>
        <v/>
      </c>
      <c r="I350">
        <f>IF(C350="","",AVERAGE(C335:C350)*$N$5)</f>
        <v/>
      </c>
      <c r="J350">
        <f>IF(C350="","",J349+$N$6*(C350*$N$5-J349))</f>
        <v/>
      </c>
      <c r="K350">
        <f>IF(B350="","",B350-B349)</f>
        <v/>
      </c>
    </row>
    <row r="351">
      <c r="G351">
        <f>IF(C351="","",C351*$N$5)</f>
        <v/>
      </c>
      <c r="H351">
        <f>IF(C351="","",AVERAGE(C348:C351)*$N$5)</f>
        <v/>
      </c>
      <c r="I351">
        <f>IF(C351="","",AVERAGE(C336:C351)*$N$5)</f>
        <v/>
      </c>
      <c r="J351">
        <f>IF(C351="","",J350+$N$6*(C351*$N$5-J350))</f>
        <v/>
      </c>
      <c r="K351">
        <f>IF(B351="","",B351-B350)</f>
        <v/>
      </c>
    </row>
    <row r="352">
      <c r="G352">
        <f>IF(C352="","",C352*$N$5)</f>
        <v/>
      </c>
      <c r="H352">
        <f>IF(C352="","",AVERAGE(C349:C352)*$N$5)</f>
        <v/>
      </c>
      <c r="I352">
        <f>IF(C352="","",AVERAGE(C337:C352)*$N$5)</f>
        <v/>
      </c>
      <c r="J352">
        <f>IF(C352="","",J351+$N$6*(C352*$N$5-J351))</f>
        <v/>
      </c>
      <c r="K352">
        <f>IF(B352="","",B352-B351)</f>
        <v/>
      </c>
    </row>
    <row r="353">
      <c r="G353">
        <f>IF(C353="","",C353*$N$5)</f>
        <v/>
      </c>
      <c r="H353">
        <f>IF(C353="","",AVERAGE(C350:C353)*$N$5)</f>
        <v/>
      </c>
      <c r="I353">
        <f>IF(C353="","",AVERAGE(C338:C353)*$N$5)</f>
        <v/>
      </c>
      <c r="J353">
        <f>IF(C353="","",J352+$N$6*(C353*$N$5-J352))</f>
        <v/>
      </c>
      <c r="K353">
        <f>IF(B353="","",B353-B352)</f>
        <v/>
      </c>
    </row>
    <row r="354">
      <c r="G354">
        <f>IF(C354="","",C354*$N$5)</f>
        <v/>
      </c>
      <c r="H354">
        <f>IF(C354="","",AVERAGE(C351:C354)*$N$5)</f>
        <v/>
      </c>
      <c r="I354">
        <f>IF(C354="","",AVERAGE(C339:C354)*$N$5)</f>
        <v/>
      </c>
      <c r="J354">
        <f>IF(C354="","",J353+$N$6*(C354*$N$5-J353))</f>
        <v/>
      </c>
      <c r="K354">
        <f>IF(B354="","",B354-B353)</f>
        <v/>
      </c>
    </row>
    <row r="355">
      <c r="G355">
        <f>IF(C355="","",C355*$N$5)</f>
        <v/>
      </c>
      <c r="H355">
        <f>IF(C355="","",AVERAGE(C352:C355)*$N$5)</f>
        <v/>
      </c>
      <c r="I355">
        <f>IF(C355="","",AVERAGE(C340:C355)*$N$5)</f>
        <v/>
      </c>
      <c r="J355">
        <f>IF(C355="","",J354+$N$6*(C355*$N$5-J354))</f>
        <v/>
      </c>
      <c r="K355">
        <f>IF(B355="","",B355-B354)</f>
        <v/>
      </c>
    </row>
    <row r="356">
      <c r="G356">
        <f>IF(C356="","",C356*$N$5)</f>
        <v/>
      </c>
      <c r="H356">
        <f>IF(C356="","",AVERAGE(C353:C356)*$N$5)</f>
        <v/>
      </c>
      <c r="I356">
        <f>IF(C356="","",AVERAGE(C341:C356)*$N$5)</f>
        <v/>
      </c>
      <c r="J356">
        <f>IF(C356="","",J355+$N$6*(C356*$N$5-J355))</f>
        <v/>
      </c>
      <c r="K356">
        <f>IF(B356="","",B356-B355)</f>
        <v/>
      </c>
    </row>
    <row r="357">
      <c r="G357">
        <f>IF(C357="","",C357*$N$5)</f>
        <v/>
      </c>
      <c r="H357">
        <f>IF(C357="","",AVERAGE(C354:C357)*$N$5)</f>
        <v/>
      </c>
      <c r="I357">
        <f>IF(C357="","",AVERAGE(C342:C357)*$N$5)</f>
        <v/>
      </c>
      <c r="J357">
        <f>IF(C357="","",J356+$N$6*(C357*$N$5-J356))</f>
        <v/>
      </c>
      <c r="K357">
        <f>IF(B357="","",B357-B356)</f>
        <v/>
      </c>
    </row>
    <row r="358">
      <c r="G358">
        <f>IF(C358="","",C358*$N$5)</f>
        <v/>
      </c>
      <c r="H358">
        <f>IF(C358="","",AVERAGE(C355:C358)*$N$5)</f>
        <v/>
      </c>
      <c r="I358">
        <f>IF(C358="","",AVERAGE(C343:C358)*$N$5)</f>
        <v/>
      </c>
      <c r="J358">
        <f>IF(C358="","",J357+$N$6*(C358*$N$5-J357))</f>
        <v/>
      </c>
      <c r="K358">
        <f>IF(B358="","",B358-B357)</f>
        <v/>
      </c>
    </row>
    <row r="359">
      <c r="G359">
        <f>IF(C359="","",C359*$N$5)</f>
        <v/>
      </c>
      <c r="H359">
        <f>IF(C359="","",AVERAGE(C356:C359)*$N$5)</f>
        <v/>
      </c>
      <c r="I359">
        <f>IF(C359="","",AVERAGE(C344:C359)*$N$5)</f>
        <v/>
      </c>
      <c r="J359">
        <f>IF(C359="","",J358+$N$6*(C359*$N$5-J358))</f>
        <v/>
      </c>
      <c r="K359">
        <f>IF(B359="","",B359-B358)</f>
        <v/>
      </c>
    </row>
    <row r="360">
      <c r="G360">
        <f>IF(C360="","",C360*$N$5)</f>
        <v/>
      </c>
      <c r="H360">
        <f>IF(C360="","",AVERAGE(C357:C360)*$N$5)</f>
        <v/>
      </c>
      <c r="I360">
        <f>IF(C360="","",AVERAGE(C345:C360)*$N$5)</f>
        <v/>
      </c>
      <c r="J360">
        <f>IF(C360="","",J359+$N$6*(C360*$N$5-J359))</f>
        <v/>
      </c>
      <c r="K360">
        <f>IF(B360="","",B360-B359)</f>
        <v/>
      </c>
    </row>
    <row r="361">
      <c r="G361">
        <f>IF(C361="","",C361*$N$5)</f>
        <v/>
      </c>
      <c r="H361">
        <f>IF(C361="","",AVERAGE(C358:C361)*$N$5)</f>
        <v/>
      </c>
      <c r="I361">
        <f>IF(C361="","",AVERAGE(C346:C361)*$N$5)</f>
        <v/>
      </c>
      <c r="J361">
        <f>IF(C361="","",J360+$N$6*(C361*$N$5-J360))</f>
        <v/>
      </c>
      <c r="K361">
        <f>IF(B361="","",B361-B360)</f>
        <v/>
      </c>
    </row>
    <row r="362">
      <c r="G362">
        <f>IF(C362="","",C362*$N$5)</f>
        <v/>
      </c>
      <c r="H362">
        <f>IF(C362="","",AVERAGE(C359:C362)*$N$5)</f>
        <v/>
      </c>
      <c r="I362">
        <f>IF(C362="","",AVERAGE(C347:C362)*$N$5)</f>
        <v/>
      </c>
      <c r="J362">
        <f>IF(C362="","",J361+$N$6*(C362*$N$5-J361))</f>
        <v/>
      </c>
      <c r="K362">
        <f>IF(B362="","",B362-B361)</f>
        <v/>
      </c>
    </row>
    <row r="363">
      <c r="G363">
        <f>IF(C363="","",C363*$N$5)</f>
        <v/>
      </c>
      <c r="H363">
        <f>IF(C363="","",AVERAGE(C360:C363)*$N$5)</f>
        <v/>
      </c>
      <c r="I363">
        <f>IF(C363="","",AVERAGE(C348:C363)*$N$5)</f>
        <v/>
      </c>
      <c r="J363">
        <f>IF(C363="","",J362+$N$6*(C363*$N$5-J362))</f>
        <v/>
      </c>
      <c r="K363">
        <f>IF(B363="","",B363-B362)</f>
        <v/>
      </c>
    </row>
    <row r="364">
      <c r="G364">
        <f>IF(C364="","",C364*$N$5)</f>
        <v/>
      </c>
      <c r="H364">
        <f>IF(C364="","",AVERAGE(C361:C364)*$N$5)</f>
        <v/>
      </c>
      <c r="I364">
        <f>IF(C364="","",AVERAGE(C349:C364)*$N$5)</f>
        <v/>
      </c>
      <c r="J364">
        <f>IF(C364="","",J363+$N$6*(C364*$N$5-J363))</f>
        <v/>
      </c>
      <c r="K364">
        <f>IF(B364="","",B364-B363)</f>
        <v/>
      </c>
    </row>
    <row r="365">
      <c r="G365">
        <f>IF(C365="","",C365*$N$5)</f>
        <v/>
      </c>
      <c r="H365">
        <f>IF(C365="","",AVERAGE(C362:C365)*$N$5)</f>
        <v/>
      </c>
      <c r="I365">
        <f>IF(C365="","",AVERAGE(C350:C365)*$N$5)</f>
        <v/>
      </c>
      <c r="J365">
        <f>IF(C365="","",J364+$N$6*(C365*$N$5-J364))</f>
        <v/>
      </c>
      <c r="K365">
        <f>IF(B365="","",B365-B364)</f>
        <v/>
      </c>
    </row>
    <row r="366">
      <c r="G366">
        <f>IF(C366="","",C366*$N$5)</f>
        <v/>
      </c>
      <c r="H366">
        <f>IF(C366="","",AVERAGE(C363:C366)*$N$5)</f>
        <v/>
      </c>
      <c r="I366">
        <f>IF(C366="","",AVERAGE(C351:C366)*$N$5)</f>
        <v/>
      </c>
      <c r="J366">
        <f>IF(C366="","",J365+$N$6*(C366*$N$5-J365))</f>
        <v/>
      </c>
      <c r="K366">
        <f>IF(B366="","",B366-B365)</f>
        <v/>
      </c>
    </row>
    <row r="367">
      <c r="G367">
        <f>IF(C367="","",C367*$N$5)</f>
        <v/>
      </c>
      <c r="H367">
        <f>IF(C367="","",AVERAGE(C364:C367)*$N$5)</f>
        <v/>
      </c>
      <c r="I367">
        <f>IF(C367="","",AVERAGE(C352:C367)*$N$5)</f>
        <v/>
      </c>
      <c r="J367">
        <f>IF(C367="","",J366+$N$6*(C367*$N$5-J366))</f>
        <v/>
      </c>
      <c r="K367">
        <f>IF(B367="","",B367-B366)</f>
        <v/>
      </c>
    </row>
    <row r="368">
      <c r="G368">
        <f>IF(C368="","",C368*$N$5)</f>
        <v/>
      </c>
      <c r="H368">
        <f>IF(C368="","",AVERAGE(C365:C368)*$N$5)</f>
        <v/>
      </c>
      <c r="I368">
        <f>IF(C368="","",AVERAGE(C353:C368)*$N$5)</f>
        <v/>
      </c>
      <c r="J368">
        <f>IF(C368="","",J367+$N$6*(C368*$N$5-J367))</f>
        <v/>
      </c>
      <c r="K368">
        <f>IF(B368="","",B368-B367)</f>
        <v/>
      </c>
    </row>
    <row r="369">
      <c r="G369">
        <f>IF(C369="","",C369*$N$5)</f>
        <v/>
      </c>
      <c r="H369">
        <f>IF(C369="","",AVERAGE(C366:C369)*$N$5)</f>
        <v/>
      </c>
      <c r="I369">
        <f>IF(C369="","",AVERAGE(C354:C369)*$N$5)</f>
        <v/>
      </c>
      <c r="J369">
        <f>IF(C369="","",J368+$N$6*(C369*$N$5-J368))</f>
        <v/>
      </c>
      <c r="K369">
        <f>IF(B369="","",B369-B368)</f>
        <v/>
      </c>
    </row>
    <row r="370">
      <c r="G370">
        <f>IF(C370="","",C370*$N$5)</f>
        <v/>
      </c>
      <c r="H370">
        <f>IF(C370="","",AVERAGE(C367:C370)*$N$5)</f>
        <v/>
      </c>
      <c r="I370">
        <f>IF(C370="","",AVERAGE(C355:C370)*$N$5)</f>
        <v/>
      </c>
      <c r="J370">
        <f>IF(C370="","",J369+$N$6*(C370*$N$5-J369))</f>
        <v/>
      </c>
      <c r="K370">
        <f>IF(B370="","",B370-B369)</f>
        <v/>
      </c>
    </row>
    <row r="371">
      <c r="G371">
        <f>IF(C371="","",C371*$N$5)</f>
        <v/>
      </c>
      <c r="H371">
        <f>IF(C371="","",AVERAGE(C368:C371)*$N$5)</f>
        <v/>
      </c>
      <c r="I371">
        <f>IF(C371="","",AVERAGE(C356:C371)*$N$5)</f>
        <v/>
      </c>
      <c r="J371">
        <f>IF(C371="","",J370+$N$6*(C371*$N$5-J370))</f>
        <v/>
      </c>
      <c r="K371">
        <f>IF(B371="","",B371-B370)</f>
        <v/>
      </c>
    </row>
    <row r="372">
      <c r="G372">
        <f>IF(C372="","",C372*$N$5)</f>
        <v/>
      </c>
      <c r="H372">
        <f>IF(C372="","",AVERAGE(C369:C372)*$N$5)</f>
        <v/>
      </c>
      <c r="I372">
        <f>IF(C372="","",AVERAGE(C357:C372)*$N$5)</f>
        <v/>
      </c>
      <c r="J372">
        <f>IF(C372="","",J371+$N$6*(C372*$N$5-J371))</f>
        <v/>
      </c>
      <c r="K372">
        <f>IF(B372="","",B372-B371)</f>
        <v/>
      </c>
    </row>
    <row r="373">
      <c r="G373">
        <f>IF(C373="","",C373*$N$5)</f>
        <v/>
      </c>
      <c r="H373">
        <f>IF(C373="","",AVERAGE(C370:C373)*$N$5)</f>
        <v/>
      </c>
      <c r="I373">
        <f>IF(C373="","",AVERAGE(C358:C373)*$N$5)</f>
        <v/>
      </c>
      <c r="J373">
        <f>IF(C373="","",J372+$N$6*(C373*$N$5-J372))</f>
        <v/>
      </c>
      <c r="K373">
        <f>IF(B373="","",B373-B372)</f>
        <v/>
      </c>
    </row>
    <row r="374">
      <c r="G374">
        <f>IF(C374="","",C374*$N$5)</f>
        <v/>
      </c>
      <c r="H374">
        <f>IF(C374="","",AVERAGE(C371:C374)*$N$5)</f>
        <v/>
      </c>
      <c r="I374">
        <f>IF(C374="","",AVERAGE(C359:C374)*$N$5)</f>
        <v/>
      </c>
      <c r="J374">
        <f>IF(C374="","",J373+$N$6*(C374*$N$5-J373))</f>
        <v/>
      </c>
      <c r="K374">
        <f>IF(B374="","",B374-B373)</f>
        <v/>
      </c>
    </row>
    <row r="375">
      <c r="G375">
        <f>IF(C375="","",C375*$N$5)</f>
        <v/>
      </c>
      <c r="H375">
        <f>IF(C375="","",AVERAGE(C372:C375)*$N$5)</f>
        <v/>
      </c>
      <c r="I375">
        <f>IF(C375="","",AVERAGE(C360:C375)*$N$5)</f>
        <v/>
      </c>
      <c r="J375">
        <f>IF(C375="","",J374+$N$6*(C375*$N$5-J374))</f>
        <v/>
      </c>
      <c r="K375">
        <f>IF(B375="","",B375-B374)</f>
        <v/>
      </c>
    </row>
    <row r="376">
      <c r="G376">
        <f>IF(C376="","",C376*$N$5)</f>
        <v/>
      </c>
      <c r="H376">
        <f>IF(C376="","",AVERAGE(C373:C376)*$N$5)</f>
        <v/>
      </c>
      <c r="I376">
        <f>IF(C376="","",AVERAGE(C361:C376)*$N$5)</f>
        <v/>
      </c>
      <c r="J376">
        <f>IF(C376="","",J375+$N$6*(C376*$N$5-J375))</f>
        <v/>
      </c>
      <c r="K376">
        <f>IF(B376="","",B376-B375)</f>
        <v/>
      </c>
    </row>
    <row r="377">
      <c r="G377">
        <f>IF(C377="","",C377*$N$5)</f>
        <v/>
      </c>
      <c r="H377">
        <f>IF(C377="","",AVERAGE(C374:C377)*$N$5)</f>
        <v/>
      </c>
      <c r="I377">
        <f>IF(C377="","",AVERAGE(C362:C377)*$N$5)</f>
        <v/>
      </c>
      <c r="J377">
        <f>IF(C377="","",J376+$N$6*(C377*$N$5-J376))</f>
        <v/>
      </c>
      <c r="K377">
        <f>IF(B377="","",B377-B376)</f>
        <v/>
      </c>
    </row>
    <row r="378">
      <c r="G378">
        <f>IF(C378="","",C378*$N$5)</f>
        <v/>
      </c>
      <c r="H378">
        <f>IF(C378="","",AVERAGE(C375:C378)*$N$5)</f>
        <v/>
      </c>
      <c r="I378">
        <f>IF(C378="","",AVERAGE(C363:C378)*$N$5)</f>
        <v/>
      </c>
      <c r="J378">
        <f>IF(C378="","",J377+$N$6*(C378*$N$5-J377))</f>
        <v/>
      </c>
      <c r="K378">
        <f>IF(B378="","",B378-B377)</f>
        <v/>
      </c>
    </row>
    <row r="379">
      <c r="G379">
        <f>IF(C379="","",C379*$N$5)</f>
        <v/>
      </c>
      <c r="H379">
        <f>IF(C379="","",AVERAGE(C376:C379)*$N$5)</f>
        <v/>
      </c>
      <c r="I379">
        <f>IF(C379="","",AVERAGE(C364:C379)*$N$5)</f>
        <v/>
      </c>
      <c r="J379">
        <f>IF(C379="","",J378+$N$6*(C379*$N$5-J378))</f>
        <v/>
      </c>
      <c r="K379">
        <f>IF(B379="","",B379-B378)</f>
        <v/>
      </c>
    </row>
    <row r="380">
      <c r="G380">
        <f>IF(C380="","",C380*$N$5)</f>
        <v/>
      </c>
      <c r="H380">
        <f>IF(C380="","",AVERAGE(C377:C380)*$N$5)</f>
        <v/>
      </c>
      <c r="I380">
        <f>IF(C380="","",AVERAGE(C365:C380)*$N$5)</f>
        <v/>
      </c>
      <c r="J380">
        <f>IF(C380="","",J379+$N$6*(C380*$N$5-J379))</f>
        <v/>
      </c>
      <c r="K380">
        <f>IF(B380="","",B380-B379)</f>
        <v/>
      </c>
    </row>
    <row r="381">
      <c r="G381">
        <f>IF(C381="","",C381*$N$5)</f>
        <v/>
      </c>
      <c r="H381">
        <f>IF(C381="","",AVERAGE(C378:C381)*$N$5)</f>
        <v/>
      </c>
      <c r="I381">
        <f>IF(C381="","",AVERAGE(C366:C381)*$N$5)</f>
        <v/>
      </c>
      <c r="J381">
        <f>IF(C381="","",J380+$N$6*(C381*$N$5-J380))</f>
        <v/>
      </c>
      <c r="K381">
        <f>IF(B381="","",B381-B380)</f>
        <v/>
      </c>
    </row>
    <row r="382">
      <c r="G382">
        <f>IF(C382="","",C382*$N$5)</f>
        <v/>
      </c>
      <c r="H382">
        <f>IF(C382="","",AVERAGE(C379:C382)*$N$5)</f>
        <v/>
      </c>
      <c r="I382">
        <f>IF(C382="","",AVERAGE(C367:C382)*$N$5)</f>
        <v/>
      </c>
      <c r="J382">
        <f>IF(C382="","",J381+$N$6*(C382*$N$5-J381))</f>
        <v/>
      </c>
      <c r="K382">
        <f>IF(B382="","",B382-B381)</f>
        <v/>
      </c>
    </row>
    <row r="383">
      <c r="G383">
        <f>IF(C383="","",C383*$N$5)</f>
        <v/>
      </c>
      <c r="H383">
        <f>IF(C383="","",AVERAGE(C380:C383)*$N$5)</f>
        <v/>
      </c>
      <c r="I383">
        <f>IF(C383="","",AVERAGE(C368:C383)*$N$5)</f>
        <v/>
      </c>
      <c r="J383">
        <f>IF(C383="","",J382+$N$6*(C383*$N$5-J382))</f>
        <v/>
      </c>
      <c r="K383">
        <f>IF(B383="","",B383-B382)</f>
        <v/>
      </c>
    </row>
    <row r="384">
      <c r="G384">
        <f>IF(C384="","",C384*$N$5)</f>
        <v/>
      </c>
      <c r="H384">
        <f>IF(C384="","",AVERAGE(C381:C384)*$N$5)</f>
        <v/>
      </c>
      <c r="I384">
        <f>IF(C384="","",AVERAGE(C369:C384)*$N$5)</f>
        <v/>
      </c>
      <c r="J384">
        <f>IF(C384="","",J383+$N$6*(C384*$N$5-J383))</f>
        <v/>
      </c>
      <c r="K384">
        <f>IF(B384="","",B384-B383)</f>
        <v/>
      </c>
    </row>
    <row r="385">
      <c r="G385">
        <f>IF(C385="","",C385*$N$5)</f>
        <v/>
      </c>
      <c r="H385">
        <f>IF(C385="","",AVERAGE(C382:C385)*$N$5)</f>
        <v/>
      </c>
      <c r="I385">
        <f>IF(C385="","",AVERAGE(C370:C385)*$N$5)</f>
        <v/>
      </c>
      <c r="J385">
        <f>IF(C385="","",J384+$N$6*(C385*$N$5-J384))</f>
        <v/>
      </c>
      <c r="K385">
        <f>IF(B385="","",B385-B384)</f>
        <v/>
      </c>
    </row>
    <row r="386">
      <c r="G386">
        <f>IF(C386="","",C386*$N$5)</f>
        <v/>
      </c>
      <c r="H386">
        <f>IF(C386="","",AVERAGE(C383:C386)*$N$5)</f>
        <v/>
      </c>
      <c r="I386">
        <f>IF(C386="","",AVERAGE(C371:C386)*$N$5)</f>
        <v/>
      </c>
      <c r="J386">
        <f>IF(C386="","",J385+$N$6*(C386*$N$5-J385))</f>
        <v/>
      </c>
      <c r="K386">
        <f>IF(B386="","",B386-B385)</f>
        <v/>
      </c>
    </row>
    <row r="387">
      <c r="G387">
        <f>IF(C387="","",C387*$N$5)</f>
        <v/>
      </c>
      <c r="H387">
        <f>IF(C387="","",AVERAGE(C384:C387)*$N$5)</f>
        <v/>
      </c>
      <c r="I387">
        <f>IF(C387="","",AVERAGE(C372:C387)*$N$5)</f>
        <v/>
      </c>
      <c r="J387">
        <f>IF(C387="","",J386+$N$6*(C387*$N$5-J386))</f>
        <v/>
      </c>
      <c r="K387">
        <f>IF(B387="","",B387-B386)</f>
        <v/>
      </c>
    </row>
    <row r="388">
      <c r="G388">
        <f>IF(C388="","",C388*$N$5)</f>
        <v/>
      </c>
      <c r="H388">
        <f>IF(C388="","",AVERAGE(C385:C388)*$N$5)</f>
        <v/>
      </c>
      <c r="I388">
        <f>IF(C388="","",AVERAGE(C373:C388)*$N$5)</f>
        <v/>
      </c>
      <c r="J388">
        <f>IF(C388="","",J387+$N$6*(C388*$N$5-J387))</f>
        <v/>
      </c>
      <c r="K388">
        <f>IF(B388="","",B388-B387)</f>
        <v/>
      </c>
    </row>
    <row r="389">
      <c r="G389">
        <f>IF(C389="","",C389*$N$5)</f>
        <v/>
      </c>
      <c r="H389">
        <f>IF(C389="","",AVERAGE(C386:C389)*$N$5)</f>
        <v/>
      </c>
      <c r="I389">
        <f>IF(C389="","",AVERAGE(C374:C389)*$N$5)</f>
        <v/>
      </c>
      <c r="J389">
        <f>IF(C389="","",J388+$N$6*(C389*$N$5-J388))</f>
        <v/>
      </c>
      <c r="K389">
        <f>IF(B389="","",B389-B388)</f>
        <v/>
      </c>
    </row>
    <row r="390">
      <c r="G390">
        <f>IF(C390="","",C390*$N$5)</f>
        <v/>
      </c>
      <c r="H390">
        <f>IF(C390="","",AVERAGE(C387:C390)*$N$5)</f>
        <v/>
      </c>
      <c r="I390">
        <f>IF(C390="","",AVERAGE(C375:C390)*$N$5)</f>
        <v/>
      </c>
      <c r="J390">
        <f>IF(C390="","",J389+$N$6*(C390*$N$5-J389))</f>
        <v/>
      </c>
      <c r="K390">
        <f>IF(B390="","",B390-B389)</f>
        <v/>
      </c>
    </row>
    <row r="391">
      <c r="G391">
        <f>IF(C391="","",C391*$N$5)</f>
        <v/>
      </c>
      <c r="H391">
        <f>IF(C391="","",AVERAGE(C388:C391)*$N$5)</f>
        <v/>
      </c>
      <c r="I391">
        <f>IF(C391="","",AVERAGE(C376:C391)*$N$5)</f>
        <v/>
      </c>
      <c r="J391">
        <f>IF(C391="","",J390+$N$6*(C391*$N$5-J390))</f>
        <v/>
      </c>
      <c r="K391">
        <f>IF(B391="","",B391-B390)</f>
        <v/>
      </c>
    </row>
    <row r="392">
      <c r="G392">
        <f>IF(C392="","",C392*$N$5)</f>
        <v/>
      </c>
      <c r="H392">
        <f>IF(C392="","",AVERAGE(C389:C392)*$N$5)</f>
        <v/>
      </c>
      <c r="I392">
        <f>IF(C392="","",AVERAGE(C377:C392)*$N$5)</f>
        <v/>
      </c>
      <c r="J392">
        <f>IF(C392="","",J391+$N$6*(C392*$N$5-J391))</f>
        <v/>
      </c>
      <c r="K392">
        <f>IF(B392="","",B392-B391)</f>
        <v/>
      </c>
    </row>
    <row r="393">
      <c r="G393">
        <f>IF(C393="","",C393*$N$5)</f>
        <v/>
      </c>
      <c r="H393">
        <f>IF(C393="","",AVERAGE(C390:C393)*$N$5)</f>
        <v/>
      </c>
      <c r="I393">
        <f>IF(C393="","",AVERAGE(C378:C393)*$N$5)</f>
        <v/>
      </c>
      <c r="J393">
        <f>IF(C393="","",J392+$N$6*(C393*$N$5-J392))</f>
        <v/>
      </c>
      <c r="K393">
        <f>IF(B393="","",B393-B392)</f>
        <v/>
      </c>
    </row>
    <row r="394">
      <c r="G394">
        <f>IF(C394="","",C394*$N$5)</f>
        <v/>
      </c>
      <c r="H394">
        <f>IF(C394="","",AVERAGE(C391:C394)*$N$5)</f>
        <v/>
      </c>
      <c r="I394">
        <f>IF(C394="","",AVERAGE(C379:C394)*$N$5)</f>
        <v/>
      </c>
      <c r="J394">
        <f>IF(C394="","",J393+$N$6*(C394*$N$5-J393))</f>
        <v/>
      </c>
      <c r="K394">
        <f>IF(B394="","",B394-B393)</f>
        <v/>
      </c>
    </row>
    <row r="395">
      <c r="G395">
        <f>IF(C395="","",C395*$N$5)</f>
        <v/>
      </c>
      <c r="H395">
        <f>IF(C395="","",AVERAGE(C392:C395)*$N$5)</f>
        <v/>
      </c>
      <c r="I395">
        <f>IF(C395="","",AVERAGE(C380:C395)*$N$5)</f>
        <v/>
      </c>
      <c r="J395">
        <f>IF(C395="","",J394+$N$6*(C395*$N$5-J394))</f>
        <v/>
      </c>
      <c r="K395">
        <f>IF(B395="","",B395-B394)</f>
        <v/>
      </c>
    </row>
    <row r="396">
      <c r="G396">
        <f>IF(C396="","",C396*$N$5)</f>
        <v/>
      </c>
      <c r="H396">
        <f>IF(C396="","",AVERAGE(C393:C396)*$N$5)</f>
        <v/>
      </c>
      <c r="I396">
        <f>IF(C396="","",AVERAGE(C381:C396)*$N$5)</f>
        <v/>
      </c>
      <c r="J396">
        <f>IF(C396="","",J395+$N$6*(C396*$N$5-J395))</f>
        <v/>
      </c>
      <c r="K396">
        <f>IF(B396="","",B396-B395)</f>
        <v/>
      </c>
    </row>
    <row r="397">
      <c r="G397">
        <f>IF(C397="","",C397*$N$5)</f>
        <v/>
      </c>
      <c r="H397">
        <f>IF(C397="","",AVERAGE(C394:C397)*$N$5)</f>
        <v/>
      </c>
      <c r="I397">
        <f>IF(C397="","",AVERAGE(C382:C397)*$N$5)</f>
        <v/>
      </c>
      <c r="J397">
        <f>IF(C397="","",J396+$N$6*(C397*$N$5-J396))</f>
        <v/>
      </c>
      <c r="K397">
        <f>IF(B397="","",B397-B396)</f>
        <v/>
      </c>
    </row>
    <row r="398">
      <c r="G398">
        <f>IF(C398="","",C398*$N$5)</f>
        <v/>
      </c>
      <c r="H398">
        <f>IF(C398="","",AVERAGE(C395:C398)*$N$5)</f>
        <v/>
      </c>
      <c r="I398">
        <f>IF(C398="","",AVERAGE(C383:C398)*$N$5)</f>
        <v/>
      </c>
      <c r="J398">
        <f>IF(C398="","",J397+$N$6*(C398*$N$5-J397))</f>
        <v/>
      </c>
      <c r="K398">
        <f>IF(B398="","",B398-B397)</f>
        <v/>
      </c>
    </row>
    <row r="399">
      <c r="G399">
        <f>IF(C399="","",C399*$N$5)</f>
        <v/>
      </c>
      <c r="H399">
        <f>IF(C399="","",AVERAGE(C396:C399)*$N$5)</f>
        <v/>
      </c>
      <c r="I399">
        <f>IF(C399="","",AVERAGE(C384:C399)*$N$5)</f>
        <v/>
      </c>
      <c r="J399">
        <f>IF(C399="","",J398+$N$6*(C399*$N$5-J398))</f>
        <v/>
      </c>
      <c r="K399">
        <f>IF(B399="","",B399-B398)</f>
        <v/>
      </c>
    </row>
    <row r="400">
      <c r="G400">
        <f>IF(C400="","",C400*$N$5)</f>
        <v/>
      </c>
      <c r="H400">
        <f>IF(C400="","",AVERAGE(C397:C400)*$N$5)</f>
        <v/>
      </c>
      <c r="I400">
        <f>IF(C400="","",AVERAGE(C385:C400)*$N$5)</f>
        <v/>
      </c>
      <c r="J400">
        <f>IF(C400="","",J399+$N$6*(C400*$N$5-J399))</f>
        <v/>
      </c>
      <c r="K400">
        <f>IF(B400="","",B400-B399)</f>
        <v/>
      </c>
    </row>
    <row r="401">
      <c r="G401">
        <f>IF(C401="","",C401*$N$5)</f>
        <v/>
      </c>
      <c r="H401">
        <f>IF(C401="","",AVERAGE(C398:C401)*$N$5)</f>
        <v/>
      </c>
      <c r="I401">
        <f>IF(C401="","",AVERAGE(C386:C401)*$N$5)</f>
        <v/>
      </c>
      <c r="J401">
        <f>IF(C401="","",J400+$N$6*(C401*$N$5-J400))</f>
        <v/>
      </c>
      <c r="K401">
        <f>IF(B401="","",B401-B400)</f>
        <v/>
      </c>
    </row>
    <row r="402">
      <c r="G402">
        <f>IF(C402="","",C402*$N$5)</f>
        <v/>
      </c>
      <c r="H402">
        <f>IF(C402="","",AVERAGE(C399:C402)*$N$5)</f>
        <v/>
      </c>
      <c r="I402">
        <f>IF(C402="","",AVERAGE(C387:C402)*$N$5)</f>
        <v/>
      </c>
      <c r="J402">
        <f>IF(C402="","",J401+$N$6*(C402*$N$5-J401))</f>
        <v/>
      </c>
      <c r="K402">
        <f>IF(B402="","",B402-B401)</f>
        <v/>
      </c>
    </row>
    <row r="403">
      <c r="G403">
        <f>IF(C403="","",C403*$N$5)</f>
        <v/>
      </c>
      <c r="H403">
        <f>IF(C403="","",AVERAGE(C400:C403)*$N$5)</f>
        <v/>
      </c>
      <c r="I403">
        <f>IF(C403="","",AVERAGE(C388:C403)*$N$5)</f>
        <v/>
      </c>
      <c r="J403">
        <f>IF(C403="","",J402+$N$6*(C403*$N$5-J402))</f>
        <v/>
      </c>
      <c r="K403">
        <f>IF(B403="","",B403-B402)</f>
        <v/>
      </c>
    </row>
    <row r="404">
      <c r="G404">
        <f>IF(C404="","",C404*$N$5)</f>
        <v/>
      </c>
      <c r="H404">
        <f>IF(C404="","",AVERAGE(C401:C404)*$N$5)</f>
        <v/>
      </c>
      <c r="I404">
        <f>IF(C404="","",AVERAGE(C389:C404)*$N$5)</f>
        <v/>
      </c>
      <c r="J404">
        <f>IF(C404="","",J403+$N$6*(C404*$N$5-J403))</f>
        <v/>
      </c>
      <c r="K404">
        <f>IF(B404="","",B404-B403)</f>
        <v/>
      </c>
    </row>
    <row r="405">
      <c r="G405">
        <f>IF(C405="","",C405*$N$5)</f>
        <v/>
      </c>
      <c r="H405">
        <f>IF(C405="","",AVERAGE(C402:C405)*$N$5)</f>
        <v/>
      </c>
      <c r="I405">
        <f>IF(C405="","",AVERAGE(C390:C405)*$N$5)</f>
        <v/>
      </c>
      <c r="J405">
        <f>IF(C405="","",J404+$N$6*(C405*$N$5-J404))</f>
        <v/>
      </c>
      <c r="K405">
        <f>IF(B405="","",B405-B404)</f>
        <v/>
      </c>
    </row>
    <row r="406">
      <c r="G406">
        <f>IF(C406="","",C406*$N$5)</f>
        <v/>
      </c>
      <c r="H406">
        <f>IF(C406="","",AVERAGE(C403:C406)*$N$5)</f>
        <v/>
      </c>
      <c r="I406">
        <f>IF(C406="","",AVERAGE(C391:C406)*$N$5)</f>
        <v/>
      </c>
      <c r="J406">
        <f>IF(C406="","",J405+$N$6*(C406*$N$5-J405))</f>
        <v/>
      </c>
      <c r="K406">
        <f>IF(B406="","",B406-B405)</f>
        <v/>
      </c>
    </row>
    <row r="407">
      <c r="G407">
        <f>IF(C407="","",C407*$N$5)</f>
        <v/>
      </c>
      <c r="H407">
        <f>IF(C407="","",AVERAGE(C404:C407)*$N$5)</f>
        <v/>
      </c>
      <c r="I407">
        <f>IF(C407="","",AVERAGE(C392:C407)*$N$5)</f>
        <v/>
      </c>
      <c r="J407">
        <f>IF(C407="","",J406+$N$6*(C407*$N$5-J406))</f>
        <v/>
      </c>
      <c r="K407">
        <f>IF(B407="","",B407-B406)</f>
        <v/>
      </c>
    </row>
    <row r="408">
      <c r="G408">
        <f>IF(C408="","",C408*$N$5)</f>
        <v/>
      </c>
      <c r="H408">
        <f>IF(C408="","",AVERAGE(C405:C408)*$N$5)</f>
        <v/>
      </c>
      <c r="I408">
        <f>IF(C408="","",AVERAGE(C393:C408)*$N$5)</f>
        <v/>
      </c>
      <c r="J408">
        <f>IF(C408="","",J407+$N$6*(C408*$N$5-J407))</f>
        <v/>
      </c>
      <c r="K408">
        <f>IF(B408="","",B408-B407)</f>
        <v/>
      </c>
    </row>
    <row r="409">
      <c r="G409">
        <f>IF(C409="","",C409*$N$5)</f>
        <v/>
      </c>
      <c r="H409">
        <f>IF(C409="","",AVERAGE(C406:C409)*$N$5)</f>
        <v/>
      </c>
      <c r="I409">
        <f>IF(C409="","",AVERAGE(C394:C409)*$N$5)</f>
        <v/>
      </c>
      <c r="J409">
        <f>IF(C409="","",J408+$N$6*(C409*$N$5-J408))</f>
        <v/>
      </c>
      <c r="K409">
        <f>IF(B409="","",B409-B408)</f>
        <v/>
      </c>
    </row>
    <row r="410">
      <c r="G410">
        <f>IF(C410="","",C410*$N$5)</f>
        <v/>
      </c>
      <c r="H410">
        <f>IF(C410="","",AVERAGE(C407:C410)*$N$5)</f>
        <v/>
      </c>
      <c r="I410">
        <f>IF(C410="","",AVERAGE(C395:C410)*$N$5)</f>
        <v/>
      </c>
      <c r="J410">
        <f>IF(C410="","",J409+$N$6*(C410*$N$5-J409))</f>
        <v/>
      </c>
      <c r="K410">
        <f>IF(B410="","",B410-B409)</f>
        <v/>
      </c>
    </row>
    <row r="411">
      <c r="G411">
        <f>IF(C411="","",C411*$N$5)</f>
        <v/>
      </c>
      <c r="H411">
        <f>IF(C411="","",AVERAGE(C408:C411)*$N$5)</f>
        <v/>
      </c>
      <c r="I411">
        <f>IF(C411="","",AVERAGE(C396:C411)*$N$5)</f>
        <v/>
      </c>
      <c r="J411">
        <f>IF(C411="","",J410+$N$6*(C411*$N$5-J410))</f>
        <v/>
      </c>
      <c r="K411">
        <f>IF(B411="","",B411-B410)</f>
        <v/>
      </c>
    </row>
    <row r="412">
      <c r="G412">
        <f>IF(C412="","",C412*$N$5)</f>
        <v/>
      </c>
      <c r="H412">
        <f>IF(C412="","",AVERAGE(C409:C412)*$N$5)</f>
        <v/>
      </c>
      <c r="I412">
        <f>IF(C412="","",AVERAGE(C397:C412)*$N$5)</f>
        <v/>
      </c>
      <c r="J412">
        <f>IF(C412="","",J411+$N$6*(C412*$N$5-J411))</f>
        <v/>
      </c>
      <c r="K412">
        <f>IF(B412="","",B412-B411)</f>
        <v/>
      </c>
    </row>
    <row r="413">
      <c r="G413">
        <f>IF(C413="","",C413*$N$5)</f>
        <v/>
      </c>
      <c r="H413">
        <f>IF(C413="","",AVERAGE(C410:C413)*$N$5)</f>
        <v/>
      </c>
      <c r="I413">
        <f>IF(C413="","",AVERAGE(C398:C413)*$N$5)</f>
        <v/>
      </c>
      <c r="J413">
        <f>IF(C413="","",J412+$N$6*(C413*$N$5-J412))</f>
        <v/>
      </c>
      <c r="K413">
        <f>IF(B413="","",B413-B412)</f>
        <v/>
      </c>
    </row>
    <row r="414">
      <c r="G414">
        <f>IF(C414="","",C414*$N$5)</f>
        <v/>
      </c>
      <c r="H414">
        <f>IF(C414="","",AVERAGE(C411:C414)*$N$5)</f>
        <v/>
      </c>
      <c r="I414">
        <f>IF(C414="","",AVERAGE(C399:C414)*$N$5)</f>
        <v/>
      </c>
      <c r="J414">
        <f>IF(C414="","",J413+$N$6*(C414*$N$5-J413))</f>
        <v/>
      </c>
      <c r="K414">
        <f>IF(B414="","",B414-B413)</f>
        <v/>
      </c>
    </row>
    <row r="415">
      <c r="G415">
        <f>IF(C415="","",C415*$N$5)</f>
        <v/>
      </c>
      <c r="H415">
        <f>IF(C415="","",AVERAGE(C412:C415)*$N$5)</f>
        <v/>
      </c>
      <c r="I415">
        <f>IF(C415="","",AVERAGE(C400:C415)*$N$5)</f>
        <v/>
      </c>
      <c r="J415">
        <f>IF(C415="","",J414+$N$6*(C415*$N$5-J414))</f>
        <v/>
      </c>
      <c r="K415">
        <f>IF(B415="","",B415-B414)</f>
        <v/>
      </c>
    </row>
    <row r="416">
      <c r="G416">
        <f>IF(C416="","",C416*$N$5)</f>
        <v/>
      </c>
      <c r="H416">
        <f>IF(C416="","",AVERAGE(C413:C416)*$N$5)</f>
        <v/>
      </c>
      <c r="I416">
        <f>IF(C416="","",AVERAGE(C401:C416)*$N$5)</f>
        <v/>
      </c>
      <c r="J416">
        <f>IF(C416="","",J415+$N$6*(C416*$N$5-J415))</f>
        <v/>
      </c>
      <c r="K416">
        <f>IF(B416="","",B416-B415)</f>
        <v/>
      </c>
    </row>
    <row r="417">
      <c r="G417">
        <f>IF(C417="","",C417*$N$5)</f>
        <v/>
      </c>
      <c r="H417">
        <f>IF(C417="","",AVERAGE(C414:C417)*$N$5)</f>
        <v/>
      </c>
      <c r="I417">
        <f>IF(C417="","",AVERAGE(C402:C417)*$N$5)</f>
        <v/>
      </c>
      <c r="J417">
        <f>IF(C417="","",J416+$N$6*(C417*$N$5-J416))</f>
        <v/>
      </c>
      <c r="K417">
        <f>IF(B417="","",B417-B416)</f>
        <v/>
      </c>
    </row>
    <row r="418">
      <c r="G418">
        <f>IF(C418="","",C418*$N$5)</f>
        <v/>
      </c>
      <c r="H418">
        <f>IF(C418="","",AVERAGE(C415:C418)*$N$5)</f>
        <v/>
      </c>
      <c r="I418">
        <f>IF(C418="","",AVERAGE(C403:C418)*$N$5)</f>
        <v/>
      </c>
      <c r="J418">
        <f>IF(C418="","",J417+$N$6*(C418*$N$5-J417))</f>
        <v/>
      </c>
      <c r="K418">
        <f>IF(B418="","",B418-B417)</f>
        <v/>
      </c>
    </row>
    <row r="419">
      <c r="G419">
        <f>IF(C419="","",C419*$N$5)</f>
        <v/>
      </c>
      <c r="H419">
        <f>IF(C419="","",AVERAGE(C416:C419)*$N$5)</f>
        <v/>
      </c>
      <c r="I419">
        <f>IF(C419="","",AVERAGE(C404:C419)*$N$5)</f>
        <v/>
      </c>
      <c r="J419">
        <f>IF(C419="","",J418+$N$6*(C419*$N$5-J418))</f>
        <v/>
      </c>
      <c r="K419">
        <f>IF(B419="","",B419-B418)</f>
        <v/>
      </c>
    </row>
    <row r="420">
      <c r="G420">
        <f>IF(C420="","",C420*$N$5)</f>
        <v/>
      </c>
      <c r="H420">
        <f>IF(C420="","",AVERAGE(C417:C420)*$N$5)</f>
        <v/>
      </c>
      <c r="I420">
        <f>IF(C420="","",AVERAGE(C405:C420)*$N$5)</f>
        <v/>
      </c>
      <c r="J420">
        <f>IF(C420="","",J419+$N$6*(C420*$N$5-J419))</f>
        <v/>
      </c>
      <c r="K420">
        <f>IF(B420="","",B420-B419)</f>
        <v/>
      </c>
    </row>
    <row r="421">
      <c r="G421">
        <f>IF(C421="","",C421*$N$5)</f>
        <v/>
      </c>
      <c r="H421">
        <f>IF(C421="","",AVERAGE(C418:C421)*$N$5)</f>
        <v/>
      </c>
      <c r="I421">
        <f>IF(C421="","",AVERAGE(C406:C421)*$N$5)</f>
        <v/>
      </c>
      <c r="J421">
        <f>IF(C421="","",J420+$N$6*(C421*$N$5-J420))</f>
        <v/>
      </c>
      <c r="K421">
        <f>IF(B421="","",B421-B420)</f>
        <v/>
      </c>
    </row>
    <row r="422">
      <c r="G422">
        <f>IF(C422="","",C422*$N$5)</f>
        <v/>
      </c>
      <c r="H422">
        <f>IF(C422="","",AVERAGE(C419:C422)*$N$5)</f>
        <v/>
      </c>
      <c r="I422">
        <f>IF(C422="","",AVERAGE(C407:C422)*$N$5)</f>
        <v/>
      </c>
      <c r="J422">
        <f>IF(C422="","",J421+$N$6*(C422*$N$5-J421))</f>
        <v/>
      </c>
      <c r="K422">
        <f>IF(B422="","",B422-B421)</f>
        <v/>
      </c>
    </row>
    <row r="423">
      <c r="G423">
        <f>IF(C423="","",C423*$N$5)</f>
        <v/>
      </c>
      <c r="H423">
        <f>IF(C423="","",AVERAGE(C420:C423)*$N$5)</f>
        <v/>
      </c>
      <c r="I423">
        <f>IF(C423="","",AVERAGE(C408:C423)*$N$5)</f>
        <v/>
      </c>
      <c r="J423">
        <f>IF(C423="","",J422+$N$6*(C423*$N$5-J422))</f>
        <v/>
      </c>
      <c r="K423">
        <f>IF(B423="","",B423-B422)</f>
        <v/>
      </c>
    </row>
    <row r="424">
      <c r="G424">
        <f>IF(C424="","",C424*$N$5)</f>
        <v/>
      </c>
      <c r="H424">
        <f>IF(C424="","",AVERAGE(C421:C424)*$N$5)</f>
        <v/>
      </c>
      <c r="I424">
        <f>IF(C424="","",AVERAGE(C409:C424)*$N$5)</f>
        <v/>
      </c>
      <c r="J424">
        <f>IF(C424="","",J423+$N$6*(C424*$N$5-J423))</f>
        <v/>
      </c>
      <c r="K424">
        <f>IF(B424="","",B424-B423)</f>
        <v/>
      </c>
    </row>
    <row r="425">
      <c r="G425">
        <f>IF(C425="","",C425*$N$5)</f>
        <v/>
      </c>
      <c r="H425">
        <f>IF(C425="","",AVERAGE(C422:C425)*$N$5)</f>
        <v/>
      </c>
      <c r="I425">
        <f>IF(C425="","",AVERAGE(C410:C425)*$N$5)</f>
        <v/>
      </c>
      <c r="J425">
        <f>IF(C425="","",J424+$N$6*(C425*$N$5-J424))</f>
        <v/>
      </c>
      <c r="K425">
        <f>IF(B425="","",B425-B424)</f>
        <v/>
      </c>
    </row>
    <row r="426">
      <c r="G426">
        <f>IF(C426="","",C426*$N$5)</f>
        <v/>
      </c>
      <c r="H426">
        <f>IF(C426="","",AVERAGE(C423:C426)*$N$5)</f>
        <v/>
      </c>
      <c r="I426">
        <f>IF(C426="","",AVERAGE(C411:C426)*$N$5)</f>
        <v/>
      </c>
      <c r="J426">
        <f>IF(C426="","",J425+$N$6*(C426*$N$5-J425))</f>
        <v/>
      </c>
      <c r="K426">
        <f>IF(B426="","",B426-B425)</f>
        <v/>
      </c>
    </row>
    <row r="427">
      <c r="G427">
        <f>IF(C427="","",C427*$N$5)</f>
        <v/>
      </c>
      <c r="H427">
        <f>IF(C427="","",AVERAGE(C424:C427)*$N$5)</f>
        <v/>
      </c>
      <c r="I427">
        <f>IF(C427="","",AVERAGE(C412:C427)*$N$5)</f>
        <v/>
      </c>
      <c r="J427">
        <f>IF(C427="","",J426+$N$6*(C427*$N$5-J426))</f>
        <v/>
      </c>
      <c r="K427">
        <f>IF(B427="","",B427-B426)</f>
        <v/>
      </c>
    </row>
    <row r="428">
      <c r="G428">
        <f>IF(C428="","",C428*$N$5)</f>
        <v/>
      </c>
      <c r="H428">
        <f>IF(C428="","",AVERAGE(C425:C428)*$N$5)</f>
        <v/>
      </c>
      <c r="I428">
        <f>IF(C428="","",AVERAGE(C413:C428)*$N$5)</f>
        <v/>
      </c>
      <c r="J428">
        <f>IF(C428="","",J427+$N$6*(C428*$N$5-J427))</f>
        <v/>
      </c>
      <c r="K428">
        <f>IF(B428="","",B428-B427)</f>
        <v/>
      </c>
    </row>
    <row r="429">
      <c r="G429">
        <f>IF(C429="","",C429*$N$5)</f>
        <v/>
      </c>
      <c r="H429">
        <f>IF(C429="","",AVERAGE(C426:C429)*$N$5)</f>
        <v/>
      </c>
      <c r="I429">
        <f>IF(C429="","",AVERAGE(C414:C429)*$N$5)</f>
        <v/>
      </c>
      <c r="J429">
        <f>IF(C429="","",J428+$N$6*(C429*$N$5-J428))</f>
        <v/>
      </c>
      <c r="K429">
        <f>IF(B429="","",B429-B428)</f>
        <v/>
      </c>
    </row>
    <row r="430">
      <c r="G430">
        <f>IF(C430="","",C430*$N$5)</f>
        <v/>
      </c>
      <c r="H430">
        <f>IF(C430="","",AVERAGE(C427:C430)*$N$5)</f>
        <v/>
      </c>
      <c r="I430">
        <f>IF(C430="","",AVERAGE(C415:C430)*$N$5)</f>
        <v/>
      </c>
      <c r="J430">
        <f>IF(C430="","",J429+$N$6*(C430*$N$5-J429))</f>
        <v/>
      </c>
      <c r="K430">
        <f>IF(B430="","",B430-B429)</f>
        <v/>
      </c>
    </row>
    <row r="431">
      <c r="G431">
        <f>IF(C431="","",C431*$N$5)</f>
        <v/>
      </c>
      <c r="H431">
        <f>IF(C431="","",AVERAGE(C428:C431)*$N$5)</f>
        <v/>
      </c>
      <c r="I431">
        <f>IF(C431="","",AVERAGE(C416:C431)*$N$5)</f>
        <v/>
      </c>
      <c r="J431">
        <f>IF(C431="","",J430+$N$6*(C431*$N$5-J430))</f>
        <v/>
      </c>
      <c r="K431">
        <f>IF(B431="","",B431-B430)</f>
        <v/>
      </c>
    </row>
    <row r="432">
      <c r="G432">
        <f>IF(C432="","",C432*$N$5)</f>
        <v/>
      </c>
      <c r="H432">
        <f>IF(C432="","",AVERAGE(C429:C432)*$N$5)</f>
        <v/>
      </c>
      <c r="I432">
        <f>IF(C432="","",AVERAGE(C417:C432)*$N$5)</f>
        <v/>
      </c>
      <c r="J432">
        <f>IF(C432="","",J431+$N$6*(C432*$N$5-J431))</f>
        <v/>
      </c>
      <c r="K432">
        <f>IF(B432="","",B432-B431)</f>
        <v/>
      </c>
    </row>
    <row r="433">
      <c r="G433">
        <f>IF(C433="","",C433*$N$5)</f>
        <v/>
      </c>
      <c r="H433">
        <f>IF(C433="","",AVERAGE(C430:C433)*$N$5)</f>
        <v/>
      </c>
      <c r="I433">
        <f>IF(C433="","",AVERAGE(C418:C433)*$N$5)</f>
        <v/>
      </c>
      <c r="J433">
        <f>IF(C433="","",J432+$N$6*(C433*$N$5-J432))</f>
        <v/>
      </c>
      <c r="K433">
        <f>IF(B433="","",B433-B432)</f>
        <v/>
      </c>
    </row>
    <row r="434">
      <c r="G434">
        <f>IF(C434="","",C434*$N$5)</f>
        <v/>
      </c>
      <c r="H434">
        <f>IF(C434="","",AVERAGE(C431:C434)*$N$5)</f>
        <v/>
      </c>
      <c r="I434">
        <f>IF(C434="","",AVERAGE(C419:C434)*$N$5)</f>
        <v/>
      </c>
      <c r="J434">
        <f>IF(C434="","",J433+$N$6*(C434*$N$5-J433))</f>
        <v/>
      </c>
      <c r="K434">
        <f>IF(B434="","",B434-B433)</f>
        <v/>
      </c>
    </row>
    <row r="435">
      <c r="G435">
        <f>IF(C435="","",C435*$N$5)</f>
        <v/>
      </c>
      <c r="H435">
        <f>IF(C435="","",AVERAGE(C432:C435)*$N$5)</f>
        <v/>
      </c>
      <c r="I435">
        <f>IF(C435="","",AVERAGE(C420:C435)*$N$5)</f>
        <v/>
      </c>
      <c r="J435">
        <f>IF(C435="","",J434+$N$6*(C435*$N$5-J434))</f>
        <v/>
      </c>
      <c r="K435">
        <f>IF(B435="","",B435-B434)</f>
        <v/>
      </c>
    </row>
    <row r="436">
      <c r="G436">
        <f>IF(C436="","",C436*$N$5)</f>
        <v/>
      </c>
      <c r="H436">
        <f>IF(C436="","",AVERAGE(C433:C436)*$N$5)</f>
        <v/>
      </c>
      <c r="I436">
        <f>IF(C436="","",AVERAGE(C421:C436)*$N$5)</f>
        <v/>
      </c>
      <c r="J436">
        <f>IF(C436="","",J435+$N$6*(C436*$N$5-J435))</f>
        <v/>
      </c>
      <c r="K436">
        <f>IF(B436="","",B436-B435)</f>
        <v/>
      </c>
    </row>
    <row r="437">
      <c r="G437">
        <f>IF(C437="","",C437*$N$5)</f>
        <v/>
      </c>
      <c r="H437">
        <f>IF(C437="","",AVERAGE(C434:C437)*$N$5)</f>
        <v/>
      </c>
      <c r="I437">
        <f>IF(C437="","",AVERAGE(C422:C437)*$N$5)</f>
        <v/>
      </c>
      <c r="J437">
        <f>IF(C437="","",J436+$N$6*(C437*$N$5-J436))</f>
        <v/>
      </c>
      <c r="K437">
        <f>IF(B437="","",B437-B436)</f>
        <v/>
      </c>
    </row>
    <row r="438">
      <c r="G438">
        <f>IF(C438="","",C438*$N$5)</f>
        <v/>
      </c>
      <c r="H438">
        <f>IF(C438="","",AVERAGE(C435:C438)*$N$5)</f>
        <v/>
      </c>
      <c r="I438">
        <f>IF(C438="","",AVERAGE(C423:C438)*$N$5)</f>
        <v/>
      </c>
      <c r="J438">
        <f>IF(C438="","",J437+$N$6*(C438*$N$5-J437))</f>
        <v/>
      </c>
      <c r="K438">
        <f>IF(B438="","",B438-B437)</f>
        <v/>
      </c>
    </row>
    <row r="439">
      <c r="G439">
        <f>IF(C439="","",C439*$N$5)</f>
        <v/>
      </c>
      <c r="H439">
        <f>IF(C439="","",AVERAGE(C436:C439)*$N$5)</f>
        <v/>
      </c>
      <c r="I439">
        <f>IF(C439="","",AVERAGE(C424:C439)*$N$5)</f>
        <v/>
      </c>
      <c r="J439">
        <f>IF(C439="","",J438+$N$6*(C439*$N$5-J438))</f>
        <v/>
      </c>
      <c r="K439">
        <f>IF(B439="","",B439-B438)</f>
        <v/>
      </c>
    </row>
    <row r="440">
      <c r="G440">
        <f>IF(C440="","",C440*$N$5)</f>
        <v/>
      </c>
      <c r="H440">
        <f>IF(C440="","",AVERAGE(C437:C440)*$N$5)</f>
        <v/>
      </c>
      <c r="I440">
        <f>IF(C440="","",AVERAGE(C425:C440)*$N$5)</f>
        <v/>
      </c>
      <c r="J440">
        <f>IF(C440="","",J439+$N$6*(C440*$N$5-J439))</f>
        <v/>
      </c>
      <c r="K440">
        <f>IF(B440="","",B440-B439)</f>
        <v/>
      </c>
    </row>
    <row r="441">
      <c r="G441">
        <f>IF(C441="","",C441*$N$5)</f>
        <v/>
      </c>
      <c r="H441">
        <f>IF(C441="","",AVERAGE(C438:C441)*$N$5)</f>
        <v/>
      </c>
      <c r="I441">
        <f>IF(C441="","",AVERAGE(C426:C441)*$N$5)</f>
        <v/>
      </c>
      <c r="J441">
        <f>IF(C441="","",J440+$N$6*(C441*$N$5-J440))</f>
        <v/>
      </c>
      <c r="K441">
        <f>IF(B441="","",B441-B440)</f>
        <v/>
      </c>
    </row>
    <row r="442">
      <c r="G442">
        <f>IF(C442="","",C442*$N$5)</f>
        <v/>
      </c>
      <c r="H442">
        <f>IF(C442="","",AVERAGE(C439:C442)*$N$5)</f>
        <v/>
      </c>
      <c r="I442">
        <f>IF(C442="","",AVERAGE(C427:C442)*$N$5)</f>
        <v/>
      </c>
      <c r="J442">
        <f>IF(C442="","",J441+$N$6*(C442*$N$5-J441))</f>
        <v/>
      </c>
      <c r="K442">
        <f>IF(B442="","",B442-B441)</f>
        <v/>
      </c>
    </row>
    <row r="443">
      <c r="G443">
        <f>IF(C443="","",C443*$N$5)</f>
        <v/>
      </c>
      <c r="H443">
        <f>IF(C443="","",AVERAGE(C440:C443)*$N$5)</f>
        <v/>
      </c>
      <c r="I443">
        <f>IF(C443="","",AVERAGE(C428:C443)*$N$5)</f>
        <v/>
      </c>
      <c r="J443">
        <f>IF(C443="","",J442+$N$6*(C443*$N$5-J442))</f>
        <v/>
      </c>
      <c r="K443">
        <f>IF(B443="","",B443-B442)</f>
        <v/>
      </c>
    </row>
    <row r="444">
      <c r="G444">
        <f>IF(C444="","",C444*$N$5)</f>
        <v/>
      </c>
      <c r="H444">
        <f>IF(C444="","",AVERAGE(C441:C444)*$N$5)</f>
        <v/>
      </c>
      <c r="I444">
        <f>IF(C444="","",AVERAGE(C429:C444)*$N$5)</f>
        <v/>
      </c>
      <c r="J444">
        <f>IF(C444="","",J443+$N$6*(C444*$N$5-J443))</f>
        <v/>
      </c>
      <c r="K444">
        <f>IF(B444="","",B444-B443)</f>
        <v/>
      </c>
    </row>
    <row r="445">
      <c r="G445">
        <f>IF(C445="","",C445*$N$5)</f>
        <v/>
      </c>
      <c r="H445">
        <f>IF(C445="","",AVERAGE(C442:C445)*$N$5)</f>
        <v/>
      </c>
      <c r="I445">
        <f>IF(C445="","",AVERAGE(C430:C445)*$N$5)</f>
        <v/>
      </c>
      <c r="J445">
        <f>IF(C445="","",J444+$N$6*(C445*$N$5-J444))</f>
        <v/>
      </c>
      <c r="K445">
        <f>IF(B445="","",B445-B444)</f>
        <v/>
      </c>
    </row>
    <row r="446">
      <c r="G446">
        <f>IF(C446="","",C446*$N$5)</f>
        <v/>
      </c>
      <c r="H446">
        <f>IF(C446="","",AVERAGE(C443:C446)*$N$5)</f>
        <v/>
      </c>
      <c r="I446">
        <f>IF(C446="","",AVERAGE(C431:C446)*$N$5)</f>
        <v/>
      </c>
      <c r="J446">
        <f>IF(C446="","",J445+$N$6*(C446*$N$5-J445))</f>
        <v/>
      </c>
      <c r="K446">
        <f>IF(B446="","",B446-B445)</f>
        <v/>
      </c>
    </row>
    <row r="447">
      <c r="G447">
        <f>IF(C447="","",C447*$N$5)</f>
        <v/>
      </c>
      <c r="H447">
        <f>IF(C447="","",AVERAGE(C444:C447)*$N$5)</f>
        <v/>
      </c>
      <c r="I447">
        <f>IF(C447="","",AVERAGE(C432:C447)*$N$5)</f>
        <v/>
      </c>
      <c r="J447">
        <f>IF(C447="","",J446+$N$6*(C447*$N$5-J446))</f>
        <v/>
      </c>
      <c r="K447">
        <f>IF(B447="","",B447-B446)</f>
        <v/>
      </c>
    </row>
    <row r="448">
      <c r="G448">
        <f>IF(C448="","",C448*$N$5)</f>
        <v/>
      </c>
      <c r="H448">
        <f>IF(C448="","",AVERAGE(C445:C448)*$N$5)</f>
        <v/>
      </c>
      <c r="I448">
        <f>IF(C448="","",AVERAGE(C433:C448)*$N$5)</f>
        <v/>
      </c>
      <c r="J448">
        <f>IF(C448="","",J447+$N$6*(C448*$N$5-J447))</f>
        <v/>
      </c>
      <c r="K448">
        <f>IF(B448="","",B448-B447)</f>
        <v/>
      </c>
    </row>
    <row r="449">
      <c r="G449">
        <f>IF(C449="","",C449*$N$5)</f>
        <v/>
      </c>
      <c r="H449">
        <f>IF(C449="","",AVERAGE(C446:C449)*$N$5)</f>
        <v/>
      </c>
      <c r="I449">
        <f>IF(C449="","",AVERAGE(C434:C449)*$N$5)</f>
        <v/>
      </c>
      <c r="J449">
        <f>IF(C449="","",J448+$N$6*(C449*$N$5-J448))</f>
        <v/>
      </c>
      <c r="K449">
        <f>IF(B449="","",B449-B448)</f>
        <v/>
      </c>
    </row>
    <row r="450">
      <c r="G450">
        <f>IF(C450="","",C450*$N$5)</f>
        <v/>
      </c>
      <c r="H450">
        <f>IF(C450="","",AVERAGE(C447:C450)*$N$5)</f>
        <v/>
      </c>
      <c r="I450">
        <f>IF(C450="","",AVERAGE(C435:C450)*$N$5)</f>
        <v/>
      </c>
      <c r="J450">
        <f>IF(C450="","",J449+$N$6*(C450*$N$5-J449))</f>
        <v/>
      </c>
      <c r="K450">
        <f>IF(B450="","",B450-B449)</f>
        <v/>
      </c>
    </row>
    <row r="451">
      <c r="G451">
        <f>IF(C451="","",C451*$N$5)</f>
        <v/>
      </c>
      <c r="H451">
        <f>IF(C451="","",AVERAGE(C448:C451)*$N$5)</f>
        <v/>
      </c>
      <c r="I451">
        <f>IF(C451="","",AVERAGE(C436:C451)*$N$5)</f>
        <v/>
      </c>
      <c r="J451">
        <f>IF(C451="","",J450+$N$6*(C451*$N$5-J450))</f>
        <v/>
      </c>
      <c r="K451">
        <f>IF(B451="","",B451-B450)</f>
        <v/>
      </c>
    </row>
    <row r="452">
      <c r="G452">
        <f>IF(C452="","",C452*$N$5)</f>
        <v/>
      </c>
      <c r="H452">
        <f>IF(C452="","",AVERAGE(C449:C452)*$N$5)</f>
        <v/>
      </c>
      <c r="I452">
        <f>IF(C452="","",AVERAGE(C437:C452)*$N$5)</f>
        <v/>
      </c>
      <c r="J452">
        <f>IF(C452="","",J451+$N$6*(C452*$N$5-J451))</f>
        <v/>
      </c>
      <c r="K452">
        <f>IF(B452="","",B452-B451)</f>
        <v/>
      </c>
    </row>
    <row r="453">
      <c r="G453">
        <f>IF(C453="","",C453*$N$5)</f>
        <v/>
      </c>
      <c r="H453">
        <f>IF(C453="","",AVERAGE(C450:C453)*$N$5)</f>
        <v/>
      </c>
      <c r="I453">
        <f>IF(C453="","",AVERAGE(C438:C453)*$N$5)</f>
        <v/>
      </c>
      <c r="J453">
        <f>IF(C453="","",J452+$N$6*(C453*$N$5-J452))</f>
        <v/>
      </c>
      <c r="K453">
        <f>IF(B453="","",B453-B452)</f>
        <v/>
      </c>
    </row>
    <row r="454">
      <c r="G454">
        <f>IF(C454="","",C454*$N$5)</f>
        <v/>
      </c>
      <c r="H454">
        <f>IF(C454="","",AVERAGE(C451:C454)*$N$5)</f>
        <v/>
      </c>
      <c r="I454">
        <f>IF(C454="","",AVERAGE(C439:C454)*$N$5)</f>
        <v/>
      </c>
      <c r="J454">
        <f>IF(C454="","",J453+$N$6*(C454*$N$5-J453))</f>
        <v/>
      </c>
      <c r="K454">
        <f>IF(B454="","",B454-B453)</f>
        <v/>
      </c>
    </row>
    <row r="455">
      <c r="G455">
        <f>IF(C455="","",C455*$N$5)</f>
        <v/>
      </c>
      <c r="H455">
        <f>IF(C455="","",AVERAGE(C452:C455)*$N$5)</f>
        <v/>
      </c>
      <c r="I455">
        <f>IF(C455="","",AVERAGE(C440:C455)*$N$5)</f>
        <v/>
      </c>
      <c r="J455">
        <f>IF(C455="","",J454+$N$6*(C455*$N$5-J454))</f>
        <v/>
      </c>
      <c r="K455">
        <f>IF(B455="","",B455-B454)</f>
        <v/>
      </c>
    </row>
    <row r="456">
      <c r="G456">
        <f>IF(C456="","",C456*$N$5)</f>
        <v/>
      </c>
      <c r="H456">
        <f>IF(C456="","",AVERAGE(C453:C456)*$N$5)</f>
        <v/>
      </c>
      <c r="I456">
        <f>IF(C456="","",AVERAGE(C441:C456)*$N$5)</f>
        <v/>
      </c>
      <c r="J456">
        <f>IF(C456="","",J455+$N$6*(C456*$N$5-J455))</f>
        <v/>
      </c>
      <c r="K456">
        <f>IF(B456="","",B456-B455)</f>
        <v/>
      </c>
    </row>
    <row r="457">
      <c r="G457">
        <f>IF(C457="","",C457*$N$5)</f>
        <v/>
      </c>
      <c r="H457">
        <f>IF(C457="","",AVERAGE(C454:C457)*$N$5)</f>
        <v/>
      </c>
      <c r="I457">
        <f>IF(C457="","",AVERAGE(C442:C457)*$N$5)</f>
        <v/>
      </c>
      <c r="J457">
        <f>IF(C457="","",J456+$N$6*(C457*$N$5-J456))</f>
        <v/>
      </c>
      <c r="K457">
        <f>IF(B457="","",B457-B456)</f>
        <v/>
      </c>
    </row>
    <row r="458">
      <c r="G458">
        <f>IF(C458="","",C458*$N$5)</f>
        <v/>
      </c>
      <c r="H458">
        <f>IF(C458="","",AVERAGE(C455:C458)*$N$5)</f>
        <v/>
      </c>
      <c r="I458">
        <f>IF(C458="","",AVERAGE(C443:C458)*$N$5)</f>
        <v/>
      </c>
      <c r="J458">
        <f>IF(C458="","",J457+$N$6*(C458*$N$5-J457))</f>
        <v/>
      </c>
      <c r="K458">
        <f>IF(B458="","",B458-B457)</f>
        <v/>
      </c>
    </row>
    <row r="459">
      <c r="G459">
        <f>IF(C459="","",C459*$N$5)</f>
        <v/>
      </c>
      <c r="H459">
        <f>IF(C459="","",AVERAGE(C456:C459)*$N$5)</f>
        <v/>
      </c>
      <c r="I459">
        <f>IF(C459="","",AVERAGE(C444:C459)*$N$5)</f>
        <v/>
      </c>
      <c r="J459">
        <f>IF(C459="","",J458+$N$6*(C459*$N$5-J458))</f>
        <v/>
      </c>
      <c r="K459">
        <f>IF(B459="","",B459-B458)</f>
        <v/>
      </c>
    </row>
    <row r="460">
      <c r="G460">
        <f>IF(C460="","",C460*$N$5)</f>
        <v/>
      </c>
      <c r="H460">
        <f>IF(C460="","",AVERAGE(C457:C460)*$N$5)</f>
        <v/>
      </c>
      <c r="I460">
        <f>IF(C460="","",AVERAGE(C445:C460)*$N$5)</f>
        <v/>
      </c>
      <c r="J460">
        <f>IF(C460="","",J459+$N$6*(C460*$N$5-J459))</f>
        <v/>
      </c>
      <c r="K460">
        <f>IF(B460="","",B460-B459)</f>
        <v/>
      </c>
    </row>
    <row r="461">
      <c r="G461">
        <f>IF(C461="","",C461*$N$5)</f>
        <v/>
      </c>
      <c r="H461">
        <f>IF(C461="","",AVERAGE(C458:C461)*$N$5)</f>
        <v/>
      </c>
      <c r="I461">
        <f>IF(C461="","",AVERAGE(C446:C461)*$N$5)</f>
        <v/>
      </c>
      <c r="J461">
        <f>IF(C461="","",J460+$N$6*(C461*$N$5-J460))</f>
        <v/>
      </c>
      <c r="K461">
        <f>IF(B461="","",B461-B460)</f>
        <v/>
      </c>
    </row>
    <row r="462">
      <c r="G462">
        <f>IF(C462="","",C462*$N$5)</f>
        <v/>
      </c>
      <c r="H462">
        <f>IF(C462="","",AVERAGE(C459:C462)*$N$5)</f>
        <v/>
      </c>
      <c r="I462">
        <f>IF(C462="","",AVERAGE(C447:C462)*$N$5)</f>
        <v/>
      </c>
      <c r="J462">
        <f>IF(C462="","",J461+$N$6*(C462*$N$5-J461))</f>
        <v/>
      </c>
      <c r="K462">
        <f>IF(B462="","",B462-B461)</f>
        <v/>
      </c>
    </row>
    <row r="463">
      <c r="G463">
        <f>IF(C463="","",C463*$N$5)</f>
        <v/>
      </c>
      <c r="H463">
        <f>IF(C463="","",AVERAGE(C460:C463)*$N$5)</f>
        <v/>
      </c>
      <c r="I463">
        <f>IF(C463="","",AVERAGE(C448:C463)*$N$5)</f>
        <v/>
      </c>
      <c r="J463">
        <f>IF(C463="","",J462+$N$6*(C463*$N$5-J462))</f>
        <v/>
      </c>
      <c r="K463">
        <f>IF(B463="","",B463-B462)</f>
        <v/>
      </c>
    </row>
    <row r="464">
      <c r="G464">
        <f>IF(C464="","",C464*$N$5)</f>
        <v/>
      </c>
      <c r="H464">
        <f>IF(C464="","",AVERAGE(C461:C464)*$N$5)</f>
        <v/>
      </c>
      <c r="I464">
        <f>IF(C464="","",AVERAGE(C449:C464)*$N$5)</f>
        <v/>
      </c>
      <c r="J464">
        <f>IF(C464="","",J463+$N$6*(C464*$N$5-J463))</f>
        <v/>
      </c>
      <c r="K464">
        <f>IF(B464="","",B464-B463)</f>
        <v/>
      </c>
    </row>
    <row r="465">
      <c r="G465">
        <f>IF(C465="","",C465*$N$5)</f>
        <v/>
      </c>
      <c r="H465">
        <f>IF(C465="","",AVERAGE(C462:C465)*$N$5)</f>
        <v/>
      </c>
      <c r="I465">
        <f>IF(C465="","",AVERAGE(C450:C465)*$N$5)</f>
        <v/>
      </c>
      <c r="J465">
        <f>IF(C465="","",J464+$N$6*(C465*$N$5-J464))</f>
        <v/>
      </c>
      <c r="K465">
        <f>IF(B465="","",B465-B464)</f>
        <v/>
      </c>
    </row>
    <row r="466">
      <c r="G466">
        <f>IF(C466="","",C466*$N$5)</f>
        <v/>
      </c>
      <c r="H466">
        <f>IF(C466="","",AVERAGE(C463:C466)*$N$5)</f>
        <v/>
      </c>
      <c r="I466">
        <f>IF(C466="","",AVERAGE(C451:C466)*$N$5)</f>
        <v/>
      </c>
      <c r="J466">
        <f>IF(C466="","",J465+$N$6*(C466*$N$5-J465))</f>
        <v/>
      </c>
      <c r="K466">
        <f>IF(B466="","",B466-B465)</f>
        <v/>
      </c>
    </row>
    <row r="467">
      <c r="G467">
        <f>IF(C467="","",C467*$N$5)</f>
        <v/>
      </c>
      <c r="H467">
        <f>IF(C467="","",AVERAGE(C464:C467)*$N$5)</f>
        <v/>
      </c>
      <c r="I467">
        <f>IF(C467="","",AVERAGE(C452:C467)*$N$5)</f>
        <v/>
      </c>
      <c r="J467">
        <f>IF(C467="","",J466+$N$6*(C467*$N$5-J466))</f>
        <v/>
      </c>
      <c r="K467">
        <f>IF(B467="","",B467-B466)</f>
        <v/>
      </c>
    </row>
    <row r="468">
      <c r="G468">
        <f>IF(C468="","",C468*$N$5)</f>
        <v/>
      </c>
      <c r="H468">
        <f>IF(C468="","",AVERAGE(C465:C468)*$N$5)</f>
        <v/>
      </c>
      <c r="I468">
        <f>IF(C468="","",AVERAGE(C453:C468)*$N$5)</f>
        <v/>
      </c>
      <c r="J468">
        <f>IF(C468="","",J467+$N$6*(C468*$N$5-J467))</f>
        <v/>
      </c>
      <c r="K468">
        <f>IF(B468="","",B468-B467)</f>
        <v/>
      </c>
    </row>
    <row r="469">
      <c r="G469">
        <f>IF(C469="","",C469*$N$5)</f>
        <v/>
      </c>
      <c r="H469">
        <f>IF(C469="","",AVERAGE(C466:C469)*$N$5)</f>
        <v/>
      </c>
      <c r="I469">
        <f>IF(C469="","",AVERAGE(C454:C469)*$N$5)</f>
        <v/>
      </c>
      <c r="J469">
        <f>IF(C469="","",J468+$N$6*(C469*$N$5-J468))</f>
        <v/>
      </c>
      <c r="K469">
        <f>IF(B469="","",B469-B468)</f>
        <v/>
      </c>
    </row>
    <row r="470">
      <c r="G470">
        <f>IF(C470="","",C470*$N$5)</f>
        <v/>
      </c>
      <c r="H470">
        <f>IF(C470="","",AVERAGE(C467:C470)*$N$5)</f>
        <v/>
      </c>
      <c r="I470">
        <f>IF(C470="","",AVERAGE(C455:C470)*$N$5)</f>
        <v/>
      </c>
      <c r="J470">
        <f>IF(C470="","",J469+$N$6*(C470*$N$5-J469))</f>
        <v/>
      </c>
      <c r="K470">
        <f>IF(B470="","",B470-B469)</f>
        <v/>
      </c>
    </row>
    <row r="471">
      <c r="G471">
        <f>IF(C471="","",C471*$N$5)</f>
        <v/>
      </c>
      <c r="H471">
        <f>IF(C471="","",AVERAGE(C468:C471)*$N$5)</f>
        <v/>
      </c>
      <c r="I471">
        <f>IF(C471="","",AVERAGE(C456:C471)*$N$5)</f>
        <v/>
      </c>
      <c r="J471">
        <f>IF(C471="","",J470+$N$6*(C471*$N$5-J470))</f>
        <v/>
      </c>
      <c r="K471">
        <f>IF(B471="","",B471-B470)</f>
        <v/>
      </c>
    </row>
    <row r="472">
      <c r="G472">
        <f>IF(C472="","",C472*$N$5)</f>
        <v/>
      </c>
      <c r="H472">
        <f>IF(C472="","",AVERAGE(C469:C472)*$N$5)</f>
        <v/>
      </c>
      <c r="I472">
        <f>IF(C472="","",AVERAGE(C457:C472)*$N$5)</f>
        <v/>
      </c>
      <c r="J472">
        <f>IF(C472="","",J471+$N$6*(C472*$N$5-J471))</f>
        <v/>
      </c>
      <c r="K472">
        <f>IF(B472="","",B472-B471)</f>
        <v/>
      </c>
    </row>
    <row r="473">
      <c r="G473">
        <f>IF(C473="","",C473*$N$5)</f>
        <v/>
      </c>
      <c r="H473">
        <f>IF(C473="","",AVERAGE(C470:C473)*$N$5)</f>
        <v/>
      </c>
      <c r="I473">
        <f>IF(C473="","",AVERAGE(C458:C473)*$N$5)</f>
        <v/>
      </c>
      <c r="J473">
        <f>IF(C473="","",J472+$N$6*(C473*$N$5-J472))</f>
        <v/>
      </c>
      <c r="K473">
        <f>IF(B473="","",B473-B472)</f>
        <v/>
      </c>
    </row>
    <row r="474">
      <c r="G474">
        <f>IF(C474="","",C474*$N$5)</f>
        <v/>
      </c>
      <c r="H474">
        <f>IF(C474="","",AVERAGE(C471:C474)*$N$5)</f>
        <v/>
      </c>
      <c r="I474">
        <f>IF(C474="","",AVERAGE(C459:C474)*$N$5)</f>
        <v/>
      </c>
      <c r="J474">
        <f>IF(C474="","",J473+$N$6*(C474*$N$5-J473))</f>
        <v/>
      </c>
      <c r="K474">
        <f>IF(B474="","",B474-B473)</f>
        <v/>
      </c>
    </row>
    <row r="475">
      <c r="G475">
        <f>IF(C475="","",C475*$N$5)</f>
        <v/>
      </c>
      <c r="H475">
        <f>IF(C475="","",AVERAGE(C472:C475)*$N$5)</f>
        <v/>
      </c>
      <c r="I475">
        <f>IF(C475="","",AVERAGE(C460:C475)*$N$5)</f>
        <v/>
      </c>
      <c r="J475">
        <f>IF(C475="","",J474+$N$6*(C475*$N$5-J474))</f>
        <v/>
      </c>
      <c r="K475">
        <f>IF(B475="","",B475-B474)</f>
        <v/>
      </c>
    </row>
    <row r="476">
      <c r="G476">
        <f>IF(C476="","",C476*$N$5)</f>
        <v/>
      </c>
      <c r="H476">
        <f>IF(C476="","",AVERAGE(C473:C476)*$N$5)</f>
        <v/>
      </c>
      <c r="I476">
        <f>IF(C476="","",AVERAGE(C461:C476)*$N$5)</f>
        <v/>
      </c>
      <c r="J476">
        <f>IF(C476="","",J475+$N$6*(C476*$N$5-J475))</f>
        <v/>
      </c>
      <c r="K476">
        <f>IF(B476="","",B476-B475)</f>
        <v/>
      </c>
    </row>
    <row r="477">
      <c r="G477">
        <f>IF(C477="","",C477*$N$5)</f>
        <v/>
      </c>
      <c r="H477">
        <f>IF(C477="","",AVERAGE(C474:C477)*$N$5)</f>
        <v/>
      </c>
      <c r="I477">
        <f>IF(C477="","",AVERAGE(C462:C477)*$N$5)</f>
        <v/>
      </c>
      <c r="J477">
        <f>IF(C477="","",J476+$N$6*(C477*$N$5-J476))</f>
        <v/>
      </c>
      <c r="K477">
        <f>IF(B477="","",B477-B476)</f>
        <v/>
      </c>
    </row>
    <row r="478">
      <c r="G478">
        <f>IF(C478="","",C478*$N$5)</f>
        <v/>
      </c>
      <c r="H478">
        <f>IF(C478="","",AVERAGE(C475:C478)*$N$5)</f>
        <v/>
      </c>
      <c r="I478">
        <f>IF(C478="","",AVERAGE(C463:C478)*$N$5)</f>
        <v/>
      </c>
      <c r="J478">
        <f>IF(C478="","",J477+$N$6*(C478*$N$5-J477))</f>
        <v/>
      </c>
      <c r="K478">
        <f>IF(B478="","",B478-B477)</f>
        <v/>
      </c>
    </row>
    <row r="479">
      <c r="G479">
        <f>IF(C479="","",C479*$N$5)</f>
        <v/>
      </c>
      <c r="H479">
        <f>IF(C479="","",AVERAGE(C476:C479)*$N$5)</f>
        <v/>
      </c>
      <c r="I479">
        <f>IF(C479="","",AVERAGE(C464:C479)*$N$5)</f>
        <v/>
      </c>
      <c r="J479">
        <f>IF(C479="","",J478+$N$6*(C479*$N$5-J478))</f>
        <v/>
      </c>
      <c r="K479">
        <f>IF(B479="","",B479-B478)</f>
        <v/>
      </c>
    </row>
    <row r="480">
      <c r="G480">
        <f>IF(C480="","",C480*$N$5)</f>
        <v/>
      </c>
      <c r="H480">
        <f>IF(C480="","",AVERAGE(C477:C480)*$N$5)</f>
        <v/>
      </c>
      <c r="I480">
        <f>IF(C480="","",AVERAGE(C465:C480)*$N$5)</f>
        <v/>
      </c>
      <c r="J480">
        <f>IF(C480="","",J479+$N$6*(C480*$N$5-J479))</f>
        <v/>
      </c>
      <c r="K480">
        <f>IF(B480="","",B480-B479)</f>
        <v/>
      </c>
    </row>
    <row r="481">
      <c r="G481">
        <f>IF(C481="","",C481*$N$5)</f>
        <v/>
      </c>
      <c r="H481">
        <f>IF(C481="","",AVERAGE(C478:C481)*$N$5)</f>
        <v/>
      </c>
      <c r="I481">
        <f>IF(C481="","",AVERAGE(C466:C481)*$N$5)</f>
        <v/>
      </c>
      <c r="J481">
        <f>IF(C481="","",J480+$N$6*(C481*$N$5-J480))</f>
        <v/>
      </c>
      <c r="K481">
        <f>IF(B481="","",B481-B480)</f>
        <v/>
      </c>
    </row>
    <row r="482">
      <c r="G482">
        <f>IF(C482="","",C482*$N$5)</f>
        <v/>
      </c>
      <c r="H482">
        <f>IF(C482="","",AVERAGE(C479:C482)*$N$5)</f>
        <v/>
      </c>
      <c r="I482">
        <f>IF(C482="","",AVERAGE(C467:C482)*$N$5)</f>
        <v/>
      </c>
      <c r="J482">
        <f>IF(C482="","",J481+$N$6*(C482*$N$5-J481))</f>
        <v/>
      </c>
      <c r="K482">
        <f>IF(B482="","",B482-B481)</f>
        <v/>
      </c>
    </row>
    <row r="483">
      <c r="G483">
        <f>IF(C483="","",C483*$N$5)</f>
        <v/>
      </c>
      <c r="H483">
        <f>IF(C483="","",AVERAGE(C480:C483)*$N$5)</f>
        <v/>
      </c>
      <c r="I483">
        <f>IF(C483="","",AVERAGE(C468:C483)*$N$5)</f>
        <v/>
      </c>
      <c r="J483">
        <f>IF(C483="","",J482+$N$6*(C483*$N$5-J482))</f>
        <v/>
      </c>
      <c r="K483">
        <f>IF(B483="","",B483-B482)</f>
        <v/>
      </c>
    </row>
    <row r="484">
      <c r="G484">
        <f>IF(C484="","",C484*$N$5)</f>
        <v/>
      </c>
      <c r="H484">
        <f>IF(C484="","",AVERAGE(C481:C484)*$N$5)</f>
        <v/>
      </c>
      <c r="I484">
        <f>IF(C484="","",AVERAGE(C469:C484)*$N$5)</f>
        <v/>
      </c>
      <c r="J484">
        <f>IF(C484="","",J483+$N$6*(C484*$N$5-J483))</f>
        <v/>
      </c>
      <c r="K484">
        <f>IF(B484="","",B484-B483)</f>
        <v/>
      </c>
    </row>
    <row r="485">
      <c r="G485">
        <f>IF(C485="","",C485*$N$5)</f>
        <v/>
      </c>
      <c r="H485">
        <f>IF(C485="","",AVERAGE(C482:C485)*$N$5)</f>
        <v/>
      </c>
      <c r="I485">
        <f>IF(C485="","",AVERAGE(C470:C485)*$N$5)</f>
        <v/>
      </c>
      <c r="J485">
        <f>IF(C485="","",J484+$N$6*(C485*$N$5-J484))</f>
        <v/>
      </c>
      <c r="K485">
        <f>IF(B485="","",B485-B484)</f>
        <v/>
      </c>
    </row>
    <row r="486">
      <c r="G486">
        <f>IF(C486="","",C486*$N$5)</f>
        <v/>
      </c>
      <c r="H486">
        <f>IF(C486="","",AVERAGE(C483:C486)*$N$5)</f>
        <v/>
      </c>
      <c r="I486">
        <f>IF(C486="","",AVERAGE(C471:C486)*$N$5)</f>
        <v/>
      </c>
      <c r="J486">
        <f>IF(C486="","",J485+$N$6*(C486*$N$5-J485))</f>
        <v/>
      </c>
      <c r="K486">
        <f>IF(B486="","",B486-B485)</f>
        <v/>
      </c>
    </row>
    <row r="487">
      <c r="G487">
        <f>IF(C487="","",C487*$N$5)</f>
        <v/>
      </c>
      <c r="H487">
        <f>IF(C487="","",AVERAGE(C484:C487)*$N$5)</f>
        <v/>
      </c>
      <c r="I487">
        <f>IF(C487="","",AVERAGE(C472:C487)*$N$5)</f>
        <v/>
      </c>
      <c r="J487">
        <f>IF(C487="","",J486+$N$6*(C487*$N$5-J486))</f>
        <v/>
      </c>
      <c r="K487">
        <f>IF(B487="","",B487-B486)</f>
        <v/>
      </c>
    </row>
    <row r="488">
      <c r="G488">
        <f>IF(C488="","",C488*$N$5)</f>
        <v/>
      </c>
      <c r="H488">
        <f>IF(C488="","",AVERAGE(C485:C488)*$N$5)</f>
        <v/>
      </c>
      <c r="I488">
        <f>IF(C488="","",AVERAGE(C473:C488)*$N$5)</f>
        <v/>
      </c>
      <c r="J488">
        <f>IF(C488="","",J487+$N$6*(C488*$N$5-J487))</f>
        <v/>
      </c>
      <c r="K488">
        <f>IF(B488="","",B488-B487)</f>
        <v/>
      </c>
    </row>
    <row r="489">
      <c r="G489">
        <f>IF(C489="","",C489*$N$5)</f>
        <v/>
      </c>
      <c r="H489">
        <f>IF(C489="","",AVERAGE(C486:C489)*$N$5)</f>
        <v/>
      </c>
      <c r="I489">
        <f>IF(C489="","",AVERAGE(C474:C489)*$N$5)</f>
        <v/>
      </c>
      <c r="J489">
        <f>IF(C489="","",J488+$N$6*(C489*$N$5-J488))</f>
        <v/>
      </c>
      <c r="K489">
        <f>IF(B489="","",B489-B488)</f>
        <v/>
      </c>
    </row>
    <row r="490">
      <c r="G490">
        <f>IF(C490="","",C490*$N$5)</f>
        <v/>
      </c>
      <c r="H490">
        <f>IF(C490="","",AVERAGE(C487:C490)*$N$5)</f>
        <v/>
      </c>
      <c r="I490">
        <f>IF(C490="","",AVERAGE(C475:C490)*$N$5)</f>
        <v/>
      </c>
      <c r="J490">
        <f>IF(C490="","",J489+$N$6*(C490*$N$5-J489))</f>
        <v/>
      </c>
      <c r="K490">
        <f>IF(B490="","",B490-B489)</f>
        <v/>
      </c>
    </row>
    <row r="491">
      <c r="G491">
        <f>IF(C491="","",C491*$N$5)</f>
        <v/>
      </c>
      <c r="H491">
        <f>IF(C491="","",AVERAGE(C488:C491)*$N$5)</f>
        <v/>
      </c>
      <c r="I491">
        <f>IF(C491="","",AVERAGE(C476:C491)*$N$5)</f>
        <v/>
      </c>
      <c r="J491">
        <f>IF(C491="","",J490+$N$6*(C491*$N$5-J490))</f>
        <v/>
      </c>
      <c r="K491">
        <f>IF(B491="","",B491-B490)</f>
        <v/>
      </c>
    </row>
    <row r="492">
      <c r="G492">
        <f>IF(C492="","",C492*$N$5)</f>
        <v/>
      </c>
      <c r="H492">
        <f>IF(C492="","",AVERAGE(C489:C492)*$N$5)</f>
        <v/>
      </c>
      <c r="I492">
        <f>IF(C492="","",AVERAGE(C477:C492)*$N$5)</f>
        <v/>
      </c>
      <c r="J492">
        <f>IF(C492="","",J491+$N$6*(C492*$N$5-J491))</f>
        <v/>
      </c>
      <c r="K492">
        <f>IF(B492="","",B492-B491)</f>
        <v/>
      </c>
    </row>
    <row r="493">
      <c r="G493">
        <f>IF(C493="","",C493*$N$5)</f>
        <v/>
      </c>
      <c r="H493">
        <f>IF(C493="","",AVERAGE(C490:C493)*$N$5)</f>
        <v/>
      </c>
      <c r="I493">
        <f>IF(C493="","",AVERAGE(C478:C493)*$N$5)</f>
        <v/>
      </c>
      <c r="J493">
        <f>IF(C493="","",J492+$N$6*(C493*$N$5-J492))</f>
        <v/>
      </c>
      <c r="K493">
        <f>IF(B493="","",B493-B492)</f>
        <v/>
      </c>
    </row>
    <row r="494">
      <c r="G494">
        <f>IF(C494="","",C494*$N$5)</f>
        <v/>
      </c>
      <c r="H494">
        <f>IF(C494="","",AVERAGE(C491:C494)*$N$5)</f>
        <v/>
      </c>
      <c r="I494">
        <f>IF(C494="","",AVERAGE(C479:C494)*$N$5)</f>
        <v/>
      </c>
      <c r="J494">
        <f>IF(C494="","",J493+$N$6*(C494*$N$5-J493))</f>
        <v/>
      </c>
      <c r="K494">
        <f>IF(B494="","",B494-B493)</f>
        <v/>
      </c>
    </row>
    <row r="495">
      <c r="G495">
        <f>IF(C495="","",C495*$N$5)</f>
        <v/>
      </c>
      <c r="H495">
        <f>IF(C495="","",AVERAGE(C492:C495)*$N$5)</f>
        <v/>
      </c>
      <c r="I495">
        <f>IF(C495="","",AVERAGE(C480:C495)*$N$5)</f>
        <v/>
      </c>
      <c r="J495">
        <f>IF(C495="","",J494+$N$6*(C495*$N$5-J494))</f>
        <v/>
      </c>
      <c r="K495">
        <f>IF(B495="","",B495-B494)</f>
        <v/>
      </c>
    </row>
    <row r="496">
      <c r="G496">
        <f>IF(C496="","",C496*$N$5)</f>
        <v/>
      </c>
      <c r="H496">
        <f>IF(C496="","",AVERAGE(C493:C496)*$N$5)</f>
        <v/>
      </c>
      <c r="I496">
        <f>IF(C496="","",AVERAGE(C481:C496)*$N$5)</f>
        <v/>
      </c>
      <c r="J496">
        <f>IF(C496="","",J495+$N$6*(C496*$N$5-J495))</f>
        <v/>
      </c>
      <c r="K496">
        <f>IF(B496="","",B496-B495)</f>
        <v/>
      </c>
    </row>
    <row r="497">
      <c r="G497">
        <f>IF(C497="","",C497*$N$5)</f>
        <v/>
      </c>
      <c r="H497">
        <f>IF(C497="","",AVERAGE(C494:C497)*$N$5)</f>
        <v/>
      </c>
      <c r="I497">
        <f>IF(C497="","",AVERAGE(C482:C497)*$N$5)</f>
        <v/>
      </c>
      <c r="J497">
        <f>IF(C497="","",J496+$N$6*(C497*$N$5-J496))</f>
        <v/>
      </c>
      <c r="K497">
        <f>IF(B497="","",B497-B496)</f>
        <v/>
      </c>
    </row>
    <row r="498">
      <c r="G498">
        <f>IF(C498="","",C498*$N$5)</f>
        <v/>
      </c>
      <c r="H498">
        <f>IF(C498="","",AVERAGE(C495:C498)*$N$5)</f>
        <v/>
      </c>
      <c r="I498">
        <f>IF(C498="","",AVERAGE(C483:C498)*$N$5)</f>
        <v/>
      </c>
      <c r="J498">
        <f>IF(C498="","",J497+$N$6*(C498*$N$5-J497))</f>
        <v/>
      </c>
      <c r="K498">
        <f>IF(B498="","",B498-B497)</f>
        <v/>
      </c>
    </row>
    <row r="499">
      <c r="G499">
        <f>IF(C499="","",C499*$N$5)</f>
        <v/>
      </c>
      <c r="H499">
        <f>IF(C499="","",AVERAGE(C496:C499)*$N$5)</f>
        <v/>
      </c>
      <c r="I499">
        <f>IF(C499="","",AVERAGE(C484:C499)*$N$5)</f>
        <v/>
      </c>
      <c r="J499">
        <f>IF(C499="","",J498+$N$6*(C499*$N$5-J498))</f>
        <v/>
      </c>
      <c r="K499">
        <f>IF(B499="","",B499-B498)</f>
        <v/>
      </c>
    </row>
    <row r="500">
      <c r="G500">
        <f>IF(C500="","",C500*$N$5)</f>
        <v/>
      </c>
      <c r="H500">
        <f>IF(C500="","",AVERAGE(C497:C500)*$N$5)</f>
        <v/>
      </c>
      <c r="I500">
        <f>IF(C500="","",AVERAGE(C485:C500)*$N$5)</f>
        <v/>
      </c>
      <c r="J500">
        <f>IF(C500="","",J499+$N$6*(C500*$N$5-J499))</f>
        <v/>
      </c>
      <c r="K500">
        <f>IF(B500="","",B500-B499)</f>
        <v/>
      </c>
    </row>
    <row r="501">
      <c r="G501">
        <f>IF(C501="","",C501*$N$5)</f>
        <v/>
      </c>
      <c r="H501">
        <f>IF(C501="","",AVERAGE(C498:C501)*$N$5)</f>
        <v/>
      </c>
      <c r="I501">
        <f>IF(C501="","",AVERAGE(C486:C501)*$N$5)</f>
        <v/>
      </c>
      <c r="J501">
        <f>IF(C501="","",J500+$N$6*(C501*$N$5-J500))</f>
        <v/>
      </c>
      <c r="K501">
        <f>IF(B501="","",B501-B500)</f>
        <v/>
      </c>
    </row>
    <row r="502">
      <c r="G502">
        <f>IF(C502="","",C502*$N$5)</f>
        <v/>
      </c>
      <c r="H502">
        <f>IF(C502="","",AVERAGE(C499:C502)*$N$5)</f>
        <v/>
      </c>
      <c r="I502">
        <f>IF(C502="","",AVERAGE(C487:C502)*$N$5)</f>
        <v/>
      </c>
      <c r="J502">
        <f>IF(C502="","",J501+$N$6*(C502*$N$5-J501))</f>
        <v/>
      </c>
      <c r="K502">
        <f>IF(B502="","",B502-B501)</f>
        <v/>
      </c>
    </row>
    <row r="503">
      <c r="G503">
        <f>IF(C503="","",C503*$N$5)</f>
        <v/>
      </c>
      <c r="H503">
        <f>IF(C503="","",AVERAGE(C500:C503)*$N$5)</f>
        <v/>
      </c>
      <c r="I503">
        <f>IF(C503="","",AVERAGE(C488:C503)*$N$5)</f>
        <v/>
      </c>
      <c r="J503">
        <f>IF(C503="","",J502+$N$6*(C503*$N$5-J502))</f>
        <v/>
      </c>
      <c r="K503">
        <f>IF(B503="","",B503-B502)</f>
        <v/>
      </c>
    </row>
    <row r="504">
      <c r="G504">
        <f>IF(C504="","",C504*$N$5)</f>
        <v/>
      </c>
      <c r="H504">
        <f>IF(C504="","",AVERAGE(C501:C504)*$N$5)</f>
        <v/>
      </c>
      <c r="I504">
        <f>IF(C504="","",AVERAGE(C489:C504)*$N$5)</f>
        <v/>
      </c>
      <c r="J504">
        <f>IF(C504="","",J503+$N$6*(C504*$N$5-J503))</f>
        <v/>
      </c>
      <c r="K504">
        <f>IF(B504="","",B504-B503)</f>
        <v/>
      </c>
    </row>
    <row r="505">
      <c r="G505">
        <f>IF(C505="","",C505*$N$5)</f>
        <v/>
      </c>
      <c r="H505">
        <f>IF(C505="","",AVERAGE(C502:C505)*$N$5)</f>
        <v/>
      </c>
      <c r="I505">
        <f>IF(C505="","",AVERAGE(C490:C505)*$N$5)</f>
        <v/>
      </c>
      <c r="J505">
        <f>IF(C505="","",J504+$N$6*(C505*$N$5-J504))</f>
        <v/>
      </c>
      <c r="K505">
        <f>IF(B505="","",B505-B504)</f>
        <v/>
      </c>
    </row>
    <row r="506">
      <c r="G506">
        <f>IF(C506="","",C506*$N$5)</f>
        <v/>
      </c>
      <c r="H506">
        <f>IF(C506="","",AVERAGE(C503:C506)*$N$5)</f>
        <v/>
      </c>
      <c r="I506">
        <f>IF(C506="","",AVERAGE(C491:C506)*$N$5)</f>
        <v/>
      </c>
      <c r="J506">
        <f>IF(C506="","",J505+$N$6*(C506*$N$5-J505))</f>
        <v/>
      </c>
      <c r="K506">
        <f>IF(B506="","",B506-B505)</f>
        <v/>
      </c>
    </row>
    <row r="507">
      <c r="G507">
        <f>IF(C507="","",C507*$N$5)</f>
        <v/>
      </c>
      <c r="H507">
        <f>IF(C507="","",AVERAGE(C504:C507)*$N$5)</f>
        <v/>
      </c>
      <c r="I507">
        <f>IF(C507="","",AVERAGE(C492:C507)*$N$5)</f>
        <v/>
      </c>
      <c r="J507">
        <f>IF(C507="","",J506+$N$6*(C507*$N$5-J506))</f>
        <v/>
      </c>
      <c r="K507">
        <f>IF(B507="","",B507-B506)</f>
        <v/>
      </c>
    </row>
    <row r="508">
      <c r="G508">
        <f>IF(C508="","",C508*$N$5)</f>
        <v/>
      </c>
      <c r="H508">
        <f>IF(C508="","",AVERAGE(C505:C508)*$N$5)</f>
        <v/>
      </c>
      <c r="I508">
        <f>IF(C508="","",AVERAGE(C493:C508)*$N$5)</f>
        <v/>
      </c>
      <c r="J508">
        <f>IF(C508="","",J507+$N$6*(C508*$N$5-J507))</f>
        <v/>
      </c>
      <c r="K508">
        <f>IF(B508="","",B508-B507)</f>
        <v/>
      </c>
    </row>
    <row r="509">
      <c r="G509">
        <f>IF(C509="","",C509*$N$5)</f>
        <v/>
      </c>
      <c r="H509">
        <f>IF(C509="","",AVERAGE(C506:C509)*$N$5)</f>
        <v/>
      </c>
      <c r="I509">
        <f>IF(C509="","",AVERAGE(C494:C509)*$N$5)</f>
        <v/>
      </c>
      <c r="J509">
        <f>IF(C509="","",J508+$N$6*(C509*$N$5-J508))</f>
        <v/>
      </c>
      <c r="K509">
        <f>IF(B509="","",B509-B508)</f>
        <v/>
      </c>
    </row>
    <row r="510">
      <c r="G510">
        <f>IF(C510="","",C510*$N$5)</f>
        <v/>
      </c>
      <c r="H510">
        <f>IF(C510="","",AVERAGE(C507:C510)*$N$5)</f>
        <v/>
      </c>
      <c r="I510">
        <f>IF(C510="","",AVERAGE(C495:C510)*$N$5)</f>
        <v/>
      </c>
      <c r="J510">
        <f>IF(C510="","",J509+$N$6*(C510*$N$5-J509))</f>
        <v/>
      </c>
      <c r="K510">
        <f>IF(B510="","",B510-B509)</f>
        <v/>
      </c>
    </row>
    <row r="511">
      <c r="G511">
        <f>IF(C511="","",C511*$N$5)</f>
        <v/>
      </c>
      <c r="H511">
        <f>IF(C511="","",AVERAGE(C508:C511)*$N$5)</f>
        <v/>
      </c>
      <c r="I511">
        <f>IF(C511="","",AVERAGE(C496:C511)*$N$5)</f>
        <v/>
      </c>
      <c r="J511">
        <f>IF(C511="","",J510+$N$6*(C511*$N$5-J510))</f>
        <v/>
      </c>
      <c r="K511">
        <f>IF(B511="","",B511-B510)</f>
        <v/>
      </c>
    </row>
    <row r="512">
      <c r="G512">
        <f>IF(C512="","",C512*$N$5)</f>
        <v/>
      </c>
      <c r="H512">
        <f>IF(C512="","",AVERAGE(C509:C512)*$N$5)</f>
        <v/>
      </c>
      <c r="I512">
        <f>IF(C512="","",AVERAGE(C497:C512)*$N$5)</f>
        <v/>
      </c>
      <c r="J512">
        <f>IF(C512="","",J511+$N$6*(C512*$N$5-J511))</f>
        <v/>
      </c>
      <c r="K512">
        <f>IF(B512="","",B512-B511)</f>
        <v/>
      </c>
    </row>
    <row r="513">
      <c r="G513">
        <f>IF(C513="","",C513*$N$5)</f>
        <v/>
      </c>
      <c r="H513">
        <f>IF(C513="","",AVERAGE(C510:C513)*$N$5)</f>
        <v/>
      </c>
      <c r="I513">
        <f>IF(C513="","",AVERAGE(C498:C513)*$N$5)</f>
        <v/>
      </c>
      <c r="J513">
        <f>IF(C513="","",J512+$N$6*(C513*$N$5-J512))</f>
        <v/>
      </c>
      <c r="K513">
        <f>IF(B513="","",B513-B512)</f>
        <v/>
      </c>
    </row>
    <row r="514">
      <c r="G514">
        <f>IF(C514="","",C514*$N$5)</f>
        <v/>
      </c>
      <c r="H514">
        <f>IF(C514="","",AVERAGE(C511:C514)*$N$5)</f>
        <v/>
      </c>
      <c r="I514">
        <f>IF(C514="","",AVERAGE(C499:C514)*$N$5)</f>
        <v/>
      </c>
      <c r="J514">
        <f>IF(C514="","",J513+$N$6*(C514*$N$5-J513))</f>
        <v/>
      </c>
      <c r="K514">
        <f>IF(B514="","",B514-B513)</f>
        <v/>
      </c>
    </row>
    <row r="515">
      <c r="G515">
        <f>IF(C515="","",C515*$N$5)</f>
        <v/>
      </c>
      <c r="H515">
        <f>IF(C515="","",AVERAGE(C512:C515)*$N$5)</f>
        <v/>
      </c>
      <c r="I515">
        <f>IF(C515="","",AVERAGE(C500:C515)*$N$5)</f>
        <v/>
      </c>
      <c r="J515">
        <f>IF(C515="","",J514+$N$6*(C515*$N$5-J514))</f>
        <v/>
      </c>
      <c r="K515">
        <f>IF(B515="","",B515-B514)</f>
        <v/>
      </c>
    </row>
    <row r="516">
      <c r="G516">
        <f>IF(C516="","",C516*$N$5)</f>
        <v/>
      </c>
      <c r="H516">
        <f>IF(C516="","",AVERAGE(C513:C516)*$N$5)</f>
        <v/>
      </c>
      <c r="I516">
        <f>IF(C516="","",AVERAGE(C501:C516)*$N$5)</f>
        <v/>
      </c>
      <c r="J516">
        <f>IF(C516="","",J515+$N$6*(C516*$N$5-J515))</f>
        <v/>
      </c>
      <c r="K516">
        <f>IF(B516="","",B516-B515)</f>
        <v/>
      </c>
    </row>
    <row r="517">
      <c r="G517">
        <f>IF(C517="","",C517*$N$5)</f>
        <v/>
      </c>
      <c r="H517">
        <f>IF(C517="","",AVERAGE(C514:C517)*$N$5)</f>
        <v/>
      </c>
      <c r="I517">
        <f>IF(C517="","",AVERAGE(C502:C517)*$N$5)</f>
        <v/>
      </c>
      <c r="J517">
        <f>IF(C517="","",J516+$N$6*(C517*$N$5-J516))</f>
        <v/>
      </c>
      <c r="K517">
        <f>IF(B517="","",B517-B516)</f>
        <v/>
      </c>
    </row>
    <row r="518">
      <c r="G518">
        <f>IF(C518="","",C518*$N$5)</f>
        <v/>
      </c>
      <c r="H518">
        <f>IF(C518="","",AVERAGE(C515:C518)*$N$5)</f>
        <v/>
      </c>
      <c r="I518">
        <f>IF(C518="","",AVERAGE(C503:C518)*$N$5)</f>
        <v/>
      </c>
      <c r="J518">
        <f>IF(C518="","",J517+$N$6*(C518*$N$5-J517))</f>
        <v/>
      </c>
      <c r="K518">
        <f>IF(B518="","",B518-B517)</f>
        <v/>
      </c>
    </row>
    <row r="519">
      <c r="G519">
        <f>IF(C519="","",C519*$N$5)</f>
        <v/>
      </c>
      <c r="H519">
        <f>IF(C519="","",AVERAGE(C516:C519)*$N$5)</f>
        <v/>
      </c>
      <c r="I519">
        <f>IF(C519="","",AVERAGE(C504:C519)*$N$5)</f>
        <v/>
      </c>
      <c r="J519">
        <f>IF(C519="","",J518+$N$6*(C519*$N$5-J518))</f>
        <v/>
      </c>
      <c r="K519">
        <f>IF(B519="","",B519-B518)</f>
        <v/>
      </c>
    </row>
    <row r="520">
      <c r="G520">
        <f>IF(C520="","",C520*$N$5)</f>
        <v/>
      </c>
      <c r="H520">
        <f>IF(C520="","",AVERAGE(C517:C520)*$N$5)</f>
        <v/>
      </c>
      <c r="I520">
        <f>IF(C520="","",AVERAGE(C505:C520)*$N$5)</f>
        <v/>
      </c>
      <c r="J520">
        <f>IF(C520="","",J519+$N$6*(C520*$N$5-J519))</f>
        <v/>
      </c>
      <c r="K520">
        <f>IF(B520="","",B520-B519)</f>
        <v/>
      </c>
    </row>
    <row r="521">
      <c r="G521">
        <f>IF(C521="","",C521*$N$5)</f>
        <v/>
      </c>
      <c r="H521">
        <f>IF(C521="","",AVERAGE(C518:C521)*$N$5)</f>
        <v/>
      </c>
      <c r="I521">
        <f>IF(C521="","",AVERAGE(C506:C521)*$N$5)</f>
        <v/>
      </c>
      <c r="J521">
        <f>IF(C521="","",J520+$N$6*(C521*$N$5-J520))</f>
        <v/>
      </c>
      <c r="K521">
        <f>IF(B521="","",B521-B520)</f>
        <v/>
      </c>
    </row>
    <row r="522">
      <c r="G522">
        <f>IF(C522="","",C522*$N$5)</f>
        <v/>
      </c>
      <c r="H522">
        <f>IF(C522="","",AVERAGE(C519:C522)*$N$5)</f>
        <v/>
      </c>
      <c r="I522">
        <f>IF(C522="","",AVERAGE(C507:C522)*$N$5)</f>
        <v/>
      </c>
      <c r="J522">
        <f>IF(C522="","",J521+$N$6*(C522*$N$5-J521))</f>
        <v/>
      </c>
      <c r="K522">
        <f>IF(B522="","",B522-B521)</f>
        <v/>
      </c>
    </row>
    <row r="523">
      <c r="G523">
        <f>IF(C523="","",C523*$N$5)</f>
        <v/>
      </c>
      <c r="H523">
        <f>IF(C523="","",AVERAGE(C520:C523)*$N$5)</f>
        <v/>
      </c>
      <c r="I523">
        <f>IF(C523="","",AVERAGE(C508:C523)*$N$5)</f>
        <v/>
      </c>
      <c r="J523">
        <f>IF(C523="","",J522+$N$6*(C523*$N$5-J522))</f>
        <v/>
      </c>
      <c r="K523">
        <f>IF(B523="","",B523-B522)</f>
        <v/>
      </c>
    </row>
    <row r="524">
      <c r="G524">
        <f>IF(C524="","",C524*$N$5)</f>
        <v/>
      </c>
      <c r="H524">
        <f>IF(C524="","",AVERAGE(C521:C524)*$N$5)</f>
        <v/>
      </c>
      <c r="I524">
        <f>IF(C524="","",AVERAGE(C509:C524)*$N$5)</f>
        <v/>
      </c>
      <c r="J524">
        <f>IF(C524="","",J523+$N$6*(C524*$N$5-J523))</f>
        <v/>
      </c>
      <c r="K524">
        <f>IF(B524="","",B524-B523)</f>
        <v/>
      </c>
    </row>
    <row r="525">
      <c r="G525">
        <f>IF(C525="","",C525*$N$5)</f>
        <v/>
      </c>
      <c r="H525">
        <f>IF(C525="","",AVERAGE(C522:C525)*$N$5)</f>
        <v/>
      </c>
      <c r="I525">
        <f>IF(C525="","",AVERAGE(C510:C525)*$N$5)</f>
        <v/>
      </c>
      <c r="J525">
        <f>IF(C525="","",J524+$N$6*(C525*$N$5-J524))</f>
        <v/>
      </c>
      <c r="K525">
        <f>IF(B525="","",B525-B524)</f>
        <v/>
      </c>
    </row>
    <row r="526">
      <c r="G526">
        <f>IF(C526="","",C526*$N$5)</f>
        <v/>
      </c>
      <c r="H526">
        <f>IF(C526="","",AVERAGE(C523:C526)*$N$5)</f>
        <v/>
      </c>
      <c r="I526">
        <f>IF(C526="","",AVERAGE(C511:C526)*$N$5)</f>
        <v/>
      </c>
      <c r="J526">
        <f>IF(C526="","",J525+$N$6*(C526*$N$5-J525))</f>
        <v/>
      </c>
      <c r="K526">
        <f>IF(B526="","",B526-B525)</f>
        <v/>
      </c>
    </row>
    <row r="527">
      <c r="G527">
        <f>IF(C527="","",C527*$N$5)</f>
        <v/>
      </c>
      <c r="H527">
        <f>IF(C527="","",AVERAGE(C524:C527)*$N$5)</f>
        <v/>
      </c>
      <c r="I527">
        <f>IF(C527="","",AVERAGE(C512:C527)*$N$5)</f>
        <v/>
      </c>
      <c r="J527">
        <f>IF(C527="","",J526+$N$6*(C527*$N$5-J526))</f>
        <v/>
      </c>
      <c r="K527">
        <f>IF(B527="","",B527-B526)</f>
        <v/>
      </c>
    </row>
    <row r="528">
      <c r="G528">
        <f>IF(C528="","",C528*$N$5)</f>
        <v/>
      </c>
      <c r="H528">
        <f>IF(C528="","",AVERAGE(C525:C528)*$N$5)</f>
        <v/>
      </c>
      <c r="I528">
        <f>IF(C528="","",AVERAGE(C513:C528)*$N$5)</f>
        <v/>
      </c>
      <c r="J528">
        <f>IF(C528="","",J527+$N$6*(C528*$N$5-J527))</f>
        <v/>
      </c>
      <c r="K528">
        <f>IF(B528="","",B528-B527)</f>
        <v/>
      </c>
    </row>
    <row r="529">
      <c r="G529">
        <f>IF(C529="","",C529*$N$5)</f>
        <v/>
      </c>
      <c r="H529">
        <f>IF(C529="","",AVERAGE(C526:C529)*$N$5)</f>
        <v/>
      </c>
      <c r="I529">
        <f>IF(C529="","",AVERAGE(C514:C529)*$N$5)</f>
        <v/>
      </c>
      <c r="J529">
        <f>IF(C529="","",J528+$N$6*(C529*$N$5-J528))</f>
        <v/>
      </c>
      <c r="K529">
        <f>IF(B529="","",B529-B528)</f>
        <v/>
      </c>
    </row>
    <row r="530">
      <c r="G530">
        <f>IF(C530="","",C530*$N$5)</f>
        <v/>
      </c>
      <c r="H530">
        <f>IF(C530="","",AVERAGE(C527:C530)*$N$5)</f>
        <v/>
      </c>
      <c r="I530">
        <f>IF(C530="","",AVERAGE(C515:C530)*$N$5)</f>
        <v/>
      </c>
      <c r="J530">
        <f>IF(C530="","",J529+$N$6*(C530*$N$5-J529))</f>
        <v/>
      </c>
      <c r="K530">
        <f>IF(B530="","",B530-B529)</f>
        <v/>
      </c>
    </row>
    <row r="531">
      <c r="G531">
        <f>IF(C531="","",C531*$N$5)</f>
        <v/>
      </c>
      <c r="H531">
        <f>IF(C531="","",AVERAGE(C528:C531)*$N$5)</f>
        <v/>
      </c>
      <c r="I531">
        <f>IF(C531="","",AVERAGE(C516:C531)*$N$5)</f>
        <v/>
      </c>
      <c r="J531">
        <f>IF(C531="","",J530+$N$6*(C531*$N$5-J530))</f>
        <v/>
      </c>
      <c r="K531">
        <f>IF(B531="","",B531-B530)</f>
        <v/>
      </c>
    </row>
    <row r="532">
      <c r="G532">
        <f>IF(C532="","",C532*$N$5)</f>
        <v/>
      </c>
      <c r="H532">
        <f>IF(C532="","",AVERAGE(C529:C532)*$N$5)</f>
        <v/>
      </c>
      <c r="I532">
        <f>IF(C532="","",AVERAGE(C517:C532)*$N$5)</f>
        <v/>
      </c>
      <c r="J532">
        <f>IF(C532="","",J531+$N$6*(C532*$N$5-J531))</f>
        <v/>
      </c>
      <c r="K532">
        <f>IF(B532="","",B532-B531)</f>
        <v/>
      </c>
    </row>
    <row r="533">
      <c r="G533">
        <f>IF(C533="","",C533*$N$5)</f>
        <v/>
      </c>
      <c r="H533">
        <f>IF(C533="","",AVERAGE(C530:C533)*$N$5)</f>
        <v/>
      </c>
      <c r="I533">
        <f>IF(C533="","",AVERAGE(C518:C533)*$N$5)</f>
        <v/>
      </c>
      <c r="J533">
        <f>IF(C533="","",J532+$N$6*(C533*$N$5-J532))</f>
        <v/>
      </c>
      <c r="K533">
        <f>IF(B533="","",B533-B532)</f>
        <v/>
      </c>
    </row>
    <row r="534">
      <c r="G534">
        <f>IF(C534="","",C534*$N$5)</f>
        <v/>
      </c>
      <c r="H534">
        <f>IF(C534="","",AVERAGE(C531:C534)*$N$5)</f>
        <v/>
      </c>
      <c r="I534">
        <f>IF(C534="","",AVERAGE(C519:C534)*$N$5)</f>
        <v/>
      </c>
      <c r="J534">
        <f>IF(C534="","",J533+$N$6*(C534*$N$5-J533))</f>
        <v/>
      </c>
      <c r="K534">
        <f>IF(B534="","",B534-B533)</f>
        <v/>
      </c>
    </row>
    <row r="535">
      <c r="G535">
        <f>IF(C535="","",C535*$N$5)</f>
        <v/>
      </c>
      <c r="H535">
        <f>IF(C535="","",AVERAGE(C532:C535)*$N$5)</f>
        <v/>
      </c>
      <c r="I535">
        <f>IF(C535="","",AVERAGE(C520:C535)*$N$5)</f>
        <v/>
      </c>
      <c r="J535">
        <f>IF(C535="","",J534+$N$6*(C535*$N$5-J534))</f>
        <v/>
      </c>
      <c r="K535">
        <f>IF(B535="","",B535-B534)</f>
        <v/>
      </c>
    </row>
    <row r="536">
      <c r="G536">
        <f>IF(C536="","",C536*$N$5)</f>
        <v/>
      </c>
      <c r="H536">
        <f>IF(C536="","",AVERAGE(C533:C536)*$N$5)</f>
        <v/>
      </c>
      <c r="I536">
        <f>IF(C536="","",AVERAGE(C521:C536)*$N$5)</f>
        <v/>
      </c>
      <c r="J536">
        <f>IF(C536="","",J535+$N$6*(C536*$N$5-J535))</f>
        <v/>
      </c>
      <c r="K536">
        <f>IF(B536="","",B536-B535)</f>
        <v/>
      </c>
    </row>
    <row r="537">
      <c r="G537">
        <f>IF(C537="","",C537*$N$5)</f>
        <v/>
      </c>
      <c r="H537">
        <f>IF(C537="","",AVERAGE(C534:C537)*$N$5)</f>
        <v/>
      </c>
      <c r="I537">
        <f>IF(C537="","",AVERAGE(C522:C537)*$N$5)</f>
        <v/>
      </c>
      <c r="J537">
        <f>IF(C537="","",J536+$N$6*(C537*$N$5-J536))</f>
        <v/>
      </c>
      <c r="K537">
        <f>IF(B537="","",B537-B536)</f>
        <v/>
      </c>
    </row>
    <row r="538">
      <c r="G538">
        <f>IF(C538="","",C538*$N$5)</f>
        <v/>
      </c>
      <c r="H538">
        <f>IF(C538="","",AVERAGE(C535:C538)*$N$5)</f>
        <v/>
      </c>
      <c r="I538">
        <f>IF(C538="","",AVERAGE(C523:C538)*$N$5)</f>
        <v/>
      </c>
      <c r="J538">
        <f>IF(C538="","",J537+$N$6*(C538*$N$5-J537))</f>
        <v/>
      </c>
      <c r="K538">
        <f>IF(B538="","",B538-B537)</f>
        <v/>
      </c>
    </row>
    <row r="539">
      <c r="G539">
        <f>IF(C539="","",C539*$N$5)</f>
        <v/>
      </c>
      <c r="H539">
        <f>IF(C539="","",AVERAGE(C536:C539)*$N$5)</f>
        <v/>
      </c>
      <c r="I539">
        <f>IF(C539="","",AVERAGE(C524:C539)*$N$5)</f>
        <v/>
      </c>
      <c r="J539">
        <f>IF(C539="","",J538+$N$6*(C539*$N$5-J538))</f>
        <v/>
      </c>
      <c r="K539">
        <f>IF(B539="","",B539-B538)</f>
        <v/>
      </c>
    </row>
    <row r="540">
      <c r="G540">
        <f>IF(C540="","",C540*$N$5)</f>
        <v/>
      </c>
      <c r="H540">
        <f>IF(C540="","",AVERAGE(C537:C540)*$N$5)</f>
        <v/>
      </c>
      <c r="I540">
        <f>IF(C540="","",AVERAGE(C525:C540)*$N$5)</f>
        <v/>
      </c>
      <c r="J540">
        <f>IF(C540="","",J539+$N$6*(C540*$N$5-J539))</f>
        <v/>
      </c>
      <c r="K540">
        <f>IF(B540="","",B540-B539)</f>
        <v/>
      </c>
    </row>
    <row r="541">
      <c r="G541">
        <f>IF(C541="","",C541*$N$5)</f>
        <v/>
      </c>
      <c r="H541">
        <f>IF(C541="","",AVERAGE(C538:C541)*$N$5)</f>
        <v/>
      </c>
      <c r="I541">
        <f>IF(C541="","",AVERAGE(C526:C541)*$N$5)</f>
        <v/>
      </c>
      <c r="J541">
        <f>IF(C541="","",J540+$N$6*(C541*$N$5-J540))</f>
        <v/>
      </c>
      <c r="K541">
        <f>IF(B541="","",B541-B540)</f>
        <v/>
      </c>
    </row>
    <row r="542">
      <c r="G542">
        <f>IF(C542="","",C542*$N$5)</f>
        <v/>
      </c>
      <c r="H542">
        <f>IF(C542="","",AVERAGE(C539:C542)*$N$5)</f>
        <v/>
      </c>
      <c r="I542">
        <f>IF(C542="","",AVERAGE(C527:C542)*$N$5)</f>
        <v/>
      </c>
      <c r="J542">
        <f>IF(C542="","",J541+$N$6*(C542*$N$5-J541))</f>
        <v/>
      </c>
      <c r="K542">
        <f>IF(B542="","",B542-B541)</f>
        <v/>
      </c>
    </row>
    <row r="543">
      <c r="G543">
        <f>IF(C543="","",C543*$N$5)</f>
        <v/>
      </c>
      <c r="H543">
        <f>IF(C543="","",AVERAGE(C540:C543)*$N$5)</f>
        <v/>
      </c>
      <c r="I543">
        <f>IF(C543="","",AVERAGE(C528:C543)*$N$5)</f>
        <v/>
      </c>
      <c r="J543">
        <f>IF(C543="","",J542+$N$6*(C543*$N$5-J542))</f>
        <v/>
      </c>
      <c r="K543">
        <f>IF(B543="","",B543-B542)</f>
        <v/>
      </c>
    </row>
    <row r="544">
      <c r="G544">
        <f>IF(C544="","",C544*$N$5)</f>
        <v/>
      </c>
      <c r="H544">
        <f>IF(C544="","",AVERAGE(C541:C544)*$N$5)</f>
        <v/>
      </c>
      <c r="I544">
        <f>IF(C544="","",AVERAGE(C529:C544)*$N$5)</f>
        <v/>
      </c>
      <c r="J544">
        <f>IF(C544="","",J543+$N$6*(C544*$N$5-J543))</f>
        <v/>
      </c>
      <c r="K544">
        <f>IF(B544="","",B544-B543)</f>
        <v/>
      </c>
    </row>
    <row r="545">
      <c r="G545">
        <f>IF(C545="","",C545*$N$5)</f>
        <v/>
      </c>
      <c r="H545">
        <f>IF(C545="","",AVERAGE(C542:C545)*$N$5)</f>
        <v/>
      </c>
      <c r="I545">
        <f>IF(C545="","",AVERAGE(C530:C545)*$N$5)</f>
        <v/>
      </c>
      <c r="J545">
        <f>IF(C545="","",J544+$N$6*(C545*$N$5-J544))</f>
        <v/>
      </c>
      <c r="K545">
        <f>IF(B545="","",B545-B544)</f>
        <v/>
      </c>
    </row>
    <row r="546">
      <c r="G546">
        <f>IF(C546="","",C546*$N$5)</f>
        <v/>
      </c>
      <c r="H546">
        <f>IF(C546="","",AVERAGE(C543:C546)*$N$5)</f>
        <v/>
      </c>
      <c r="I546">
        <f>IF(C546="","",AVERAGE(C531:C546)*$N$5)</f>
        <v/>
      </c>
      <c r="J546">
        <f>IF(C546="","",J545+$N$6*(C546*$N$5-J545))</f>
        <v/>
      </c>
      <c r="K546">
        <f>IF(B546="","",B546-B545)</f>
        <v/>
      </c>
    </row>
    <row r="547">
      <c r="G547">
        <f>IF(C547="","",C547*$N$5)</f>
        <v/>
      </c>
      <c r="H547">
        <f>IF(C547="","",AVERAGE(C544:C547)*$N$5)</f>
        <v/>
      </c>
      <c r="I547">
        <f>IF(C547="","",AVERAGE(C532:C547)*$N$5)</f>
        <v/>
      </c>
      <c r="J547">
        <f>IF(C547="","",J546+$N$6*(C547*$N$5-J546))</f>
        <v/>
      </c>
      <c r="K547">
        <f>IF(B547="","",B547-B546)</f>
        <v/>
      </c>
    </row>
    <row r="548">
      <c r="G548">
        <f>IF(C548="","",C548*$N$5)</f>
        <v/>
      </c>
      <c r="H548">
        <f>IF(C548="","",AVERAGE(C545:C548)*$N$5)</f>
        <v/>
      </c>
      <c r="I548">
        <f>IF(C548="","",AVERAGE(C533:C548)*$N$5)</f>
        <v/>
      </c>
      <c r="J548">
        <f>IF(C548="","",J547+$N$6*(C548*$N$5-J547))</f>
        <v/>
      </c>
      <c r="K548">
        <f>IF(B548="","",B548-B547)</f>
        <v/>
      </c>
    </row>
    <row r="549">
      <c r="G549">
        <f>IF(C549="","",C549*$N$5)</f>
        <v/>
      </c>
      <c r="H549">
        <f>IF(C549="","",AVERAGE(C546:C549)*$N$5)</f>
        <v/>
      </c>
      <c r="I549">
        <f>IF(C549="","",AVERAGE(C534:C549)*$N$5)</f>
        <v/>
      </c>
      <c r="J549">
        <f>IF(C549="","",J548+$N$6*(C549*$N$5-J548))</f>
        <v/>
      </c>
      <c r="K549">
        <f>IF(B549="","",B549-B548)</f>
        <v/>
      </c>
    </row>
    <row r="550">
      <c r="G550">
        <f>IF(C550="","",C550*$N$5)</f>
        <v/>
      </c>
      <c r="H550">
        <f>IF(C550="","",AVERAGE(C547:C550)*$N$5)</f>
        <v/>
      </c>
      <c r="I550">
        <f>IF(C550="","",AVERAGE(C535:C550)*$N$5)</f>
        <v/>
      </c>
      <c r="J550">
        <f>IF(C550="","",J549+$N$6*(C550*$N$5-J549))</f>
        <v/>
      </c>
      <c r="K550">
        <f>IF(B550="","",B550-B549)</f>
        <v/>
      </c>
    </row>
    <row r="551">
      <c r="G551">
        <f>IF(C551="","",C551*$N$5)</f>
        <v/>
      </c>
      <c r="H551">
        <f>IF(C551="","",AVERAGE(C548:C551)*$N$5)</f>
        <v/>
      </c>
      <c r="I551">
        <f>IF(C551="","",AVERAGE(C536:C551)*$N$5)</f>
        <v/>
      </c>
      <c r="J551">
        <f>IF(C551="","",J550+$N$6*(C551*$N$5-J550))</f>
        <v/>
      </c>
      <c r="K551">
        <f>IF(B551="","",B551-B550)</f>
        <v/>
      </c>
    </row>
    <row r="552">
      <c r="G552">
        <f>IF(C552="","",C552*$N$5)</f>
        <v/>
      </c>
      <c r="H552">
        <f>IF(C552="","",AVERAGE(C549:C552)*$N$5)</f>
        <v/>
      </c>
      <c r="I552">
        <f>IF(C552="","",AVERAGE(C537:C552)*$N$5)</f>
        <v/>
      </c>
      <c r="J552">
        <f>IF(C552="","",J551+$N$6*(C552*$N$5-J551))</f>
        <v/>
      </c>
      <c r="K552">
        <f>IF(B552="","",B552-B551)</f>
        <v/>
      </c>
    </row>
    <row r="553">
      <c r="G553">
        <f>IF(C553="","",C553*$N$5)</f>
        <v/>
      </c>
      <c r="H553">
        <f>IF(C553="","",AVERAGE(C550:C553)*$N$5)</f>
        <v/>
      </c>
      <c r="I553">
        <f>IF(C553="","",AVERAGE(C538:C553)*$N$5)</f>
        <v/>
      </c>
      <c r="J553">
        <f>IF(C553="","",J552+$N$6*(C553*$N$5-J552))</f>
        <v/>
      </c>
      <c r="K553">
        <f>IF(B553="","",B553-B552)</f>
        <v/>
      </c>
    </row>
    <row r="554">
      <c r="G554">
        <f>IF(C554="","",C554*$N$5)</f>
        <v/>
      </c>
      <c r="H554">
        <f>IF(C554="","",AVERAGE(C551:C554)*$N$5)</f>
        <v/>
      </c>
      <c r="I554">
        <f>IF(C554="","",AVERAGE(C539:C554)*$N$5)</f>
        <v/>
      </c>
      <c r="J554">
        <f>IF(C554="","",J553+$N$6*(C554*$N$5-J553))</f>
        <v/>
      </c>
      <c r="K554">
        <f>IF(B554="","",B554-B553)</f>
        <v/>
      </c>
    </row>
    <row r="555">
      <c r="G555">
        <f>IF(C555="","",C555*$N$5)</f>
        <v/>
      </c>
      <c r="H555">
        <f>IF(C555="","",AVERAGE(C552:C555)*$N$5)</f>
        <v/>
      </c>
      <c r="I555">
        <f>IF(C555="","",AVERAGE(C540:C555)*$N$5)</f>
        <v/>
      </c>
      <c r="J555">
        <f>IF(C555="","",J554+$N$6*(C555*$N$5-J554))</f>
        <v/>
      </c>
      <c r="K555">
        <f>IF(B555="","",B555-B554)</f>
        <v/>
      </c>
    </row>
    <row r="556">
      <c r="G556">
        <f>IF(C556="","",C556*$N$5)</f>
        <v/>
      </c>
      <c r="H556">
        <f>IF(C556="","",AVERAGE(C553:C556)*$N$5)</f>
        <v/>
      </c>
      <c r="I556">
        <f>IF(C556="","",AVERAGE(C541:C556)*$N$5)</f>
        <v/>
      </c>
      <c r="J556">
        <f>IF(C556="","",J555+$N$6*(C556*$N$5-J555))</f>
        <v/>
      </c>
      <c r="K556">
        <f>IF(B556="","",B556-B555)</f>
        <v/>
      </c>
    </row>
    <row r="557">
      <c r="G557">
        <f>IF(C557="","",C557*$N$5)</f>
        <v/>
      </c>
      <c r="H557">
        <f>IF(C557="","",AVERAGE(C554:C557)*$N$5)</f>
        <v/>
      </c>
      <c r="I557">
        <f>IF(C557="","",AVERAGE(C542:C557)*$N$5)</f>
        <v/>
      </c>
      <c r="J557">
        <f>IF(C557="","",J556+$N$6*(C557*$N$5-J556))</f>
        <v/>
      </c>
      <c r="K557">
        <f>IF(B557="","",B557-B556)</f>
        <v/>
      </c>
    </row>
    <row r="558">
      <c r="G558">
        <f>IF(C558="","",C558*$N$5)</f>
        <v/>
      </c>
      <c r="H558">
        <f>IF(C558="","",AVERAGE(C555:C558)*$N$5)</f>
        <v/>
      </c>
      <c r="I558">
        <f>IF(C558="","",AVERAGE(C543:C558)*$N$5)</f>
        <v/>
      </c>
      <c r="J558">
        <f>IF(C558="","",J557+$N$6*(C558*$N$5-J557))</f>
        <v/>
      </c>
      <c r="K558">
        <f>IF(B558="","",B558-B557)</f>
        <v/>
      </c>
    </row>
    <row r="559">
      <c r="G559">
        <f>IF(C559="","",C559*$N$5)</f>
        <v/>
      </c>
      <c r="H559">
        <f>IF(C559="","",AVERAGE(C556:C559)*$N$5)</f>
        <v/>
      </c>
      <c r="I559">
        <f>IF(C559="","",AVERAGE(C544:C559)*$N$5)</f>
        <v/>
      </c>
      <c r="J559">
        <f>IF(C559="","",J558+$N$6*(C559*$N$5-J558))</f>
        <v/>
      </c>
      <c r="K559">
        <f>IF(B559="","",B559-B558)</f>
        <v/>
      </c>
    </row>
    <row r="560">
      <c r="G560">
        <f>IF(C560="","",C560*$N$5)</f>
        <v/>
      </c>
      <c r="H560">
        <f>IF(C560="","",AVERAGE(C557:C560)*$N$5)</f>
        <v/>
      </c>
      <c r="I560">
        <f>IF(C560="","",AVERAGE(C545:C560)*$N$5)</f>
        <v/>
      </c>
      <c r="J560">
        <f>IF(C560="","",J559+$N$6*(C560*$N$5-J559))</f>
        <v/>
      </c>
      <c r="K560">
        <f>IF(B560="","",B560-B559)</f>
        <v/>
      </c>
    </row>
    <row r="561">
      <c r="G561">
        <f>IF(C561="","",C561*$N$5)</f>
        <v/>
      </c>
      <c r="H561">
        <f>IF(C561="","",AVERAGE(C558:C561)*$N$5)</f>
        <v/>
      </c>
      <c r="I561">
        <f>IF(C561="","",AVERAGE(C546:C561)*$N$5)</f>
        <v/>
      </c>
      <c r="J561">
        <f>IF(C561="","",J560+$N$6*(C561*$N$5-J560))</f>
        <v/>
      </c>
      <c r="K561">
        <f>IF(B561="","",B561-B560)</f>
        <v/>
      </c>
    </row>
    <row r="562">
      <c r="G562">
        <f>IF(C562="","",C562*$N$5)</f>
        <v/>
      </c>
      <c r="H562">
        <f>IF(C562="","",AVERAGE(C559:C562)*$N$5)</f>
        <v/>
      </c>
      <c r="I562">
        <f>IF(C562="","",AVERAGE(C547:C562)*$N$5)</f>
        <v/>
      </c>
      <c r="J562">
        <f>IF(C562="","",J561+$N$6*(C562*$N$5-J561))</f>
        <v/>
      </c>
      <c r="K562">
        <f>IF(B562="","",B562-B561)</f>
        <v/>
      </c>
    </row>
    <row r="563">
      <c r="G563">
        <f>IF(C563="","",C563*$N$5)</f>
        <v/>
      </c>
      <c r="H563">
        <f>IF(C563="","",AVERAGE(C560:C563)*$N$5)</f>
        <v/>
      </c>
      <c r="I563">
        <f>IF(C563="","",AVERAGE(C548:C563)*$N$5)</f>
        <v/>
      </c>
      <c r="J563">
        <f>IF(C563="","",J562+$N$6*(C563*$N$5-J562))</f>
        <v/>
      </c>
      <c r="K563">
        <f>IF(B563="","",B563-B562)</f>
        <v/>
      </c>
    </row>
    <row r="564">
      <c r="G564">
        <f>IF(C564="","",C564*$N$5)</f>
        <v/>
      </c>
      <c r="H564">
        <f>IF(C564="","",AVERAGE(C561:C564)*$N$5)</f>
        <v/>
      </c>
      <c r="I564">
        <f>IF(C564="","",AVERAGE(C549:C564)*$N$5)</f>
        <v/>
      </c>
      <c r="J564">
        <f>IF(C564="","",J563+$N$6*(C564*$N$5-J563))</f>
        <v/>
      </c>
      <c r="K564">
        <f>IF(B564="","",B564-B563)</f>
        <v/>
      </c>
    </row>
    <row r="565">
      <c r="G565">
        <f>IF(C565="","",C565*$N$5)</f>
        <v/>
      </c>
      <c r="H565">
        <f>IF(C565="","",AVERAGE(C562:C565)*$N$5)</f>
        <v/>
      </c>
      <c r="I565">
        <f>IF(C565="","",AVERAGE(C550:C565)*$N$5)</f>
        <v/>
      </c>
      <c r="J565">
        <f>IF(C565="","",J564+$N$6*(C565*$N$5-J564))</f>
        <v/>
      </c>
      <c r="K565">
        <f>IF(B565="","",B565-B564)</f>
        <v/>
      </c>
    </row>
    <row r="566">
      <c r="G566">
        <f>IF(C566="","",C566*$N$5)</f>
        <v/>
      </c>
      <c r="H566">
        <f>IF(C566="","",AVERAGE(C563:C566)*$N$5)</f>
        <v/>
      </c>
      <c r="I566">
        <f>IF(C566="","",AVERAGE(C551:C566)*$N$5)</f>
        <v/>
      </c>
      <c r="J566">
        <f>IF(C566="","",J565+$N$6*(C566*$N$5-J565))</f>
        <v/>
      </c>
      <c r="K566">
        <f>IF(B566="","",B566-B565)</f>
        <v/>
      </c>
    </row>
    <row r="567">
      <c r="G567">
        <f>IF(C567="","",C567*$N$5)</f>
        <v/>
      </c>
      <c r="H567">
        <f>IF(C567="","",AVERAGE(C564:C567)*$N$5)</f>
        <v/>
      </c>
      <c r="I567">
        <f>IF(C567="","",AVERAGE(C552:C567)*$N$5)</f>
        <v/>
      </c>
      <c r="J567">
        <f>IF(C567="","",J566+$N$6*(C567*$N$5-J566))</f>
        <v/>
      </c>
      <c r="K567">
        <f>IF(B567="","",B567-B566)</f>
        <v/>
      </c>
    </row>
    <row r="568">
      <c r="G568">
        <f>IF(C568="","",C568*$N$5)</f>
        <v/>
      </c>
      <c r="H568">
        <f>IF(C568="","",AVERAGE(C565:C568)*$N$5)</f>
        <v/>
      </c>
      <c r="I568">
        <f>IF(C568="","",AVERAGE(C553:C568)*$N$5)</f>
        <v/>
      </c>
      <c r="J568">
        <f>IF(C568="","",J567+$N$6*(C568*$N$5-J567))</f>
        <v/>
      </c>
      <c r="K568">
        <f>IF(B568="","",B568-B567)</f>
        <v/>
      </c>
    </row>
    <row r="569">
      <c r="G569">
        <f>IF(C569="","",C569*$N$5)</f>
        <v/>
      </c>
      <c r="H569">
        <f>IF(C569="","",AVERAGE(C566:C569)*$N$5)</f>
        <v/>
      </c>
      <c r="I569">
        <f>IF(C569="","",AVERAGE(C554:C569)*$N$5)</f>
        <v/>
      </c>
      <c r="J569">
        <f>IF(C569="","",J568+$N$6*(C569*$N$5-J568))</f>
        <v/>
      </c>
      <c r="K569">
        <f>IF(B569="","",B569-B568)</f>
        <v/>
      </c>
    </row>
    <row r="570">
      <c r="G570">
        <f>IF(C570="","",C570*$N$5)</f>
        <v/>
      </c>
      <c r="H570">
        <f>IF(C570="","",AVERAGE(C567:C570)*$N$5)</f>
        <v/>
      </c>
      <c r="I570">
        <f>IF(C570="","",AVERAGE(C555:C570)*$N$5)</f>
        <v/>
      </c>
      <c r="J570">
        <f>IF(C570="","",J569+$N$6*(C570*$N$5-J569))</f>
        <v/>
      </c>
      <c r="K570">
        <f>IF(B570="","",B570-B569)</f>
        <v/>
      </c>
    </row>
    <row r="571">
      <c r="G571">
        <f>IF(C571="","",C571*$N$5)</f>
        <v/>
      </c>
      <c r="H571">
        <f>IF(C571="","",AVERAGE(C568:C571)*$N$5)</f>
        <v/>
      </c>
      <c r="I571">
        <f>IF(C571="","",AVERAGE(C556:C571)*$N$5)</f>
        <v/>
      </c>
      <c r="J571">
        <f>IF(C571="","",J570+$N$6*(C571*$N$5-J570))</f>
        <v/>
      </c>
      <c r="K571">
        <f>IF(B571="","",B571-B570)</f>
        <v/>
      </c>
    </row>
    <row r="572">
      <c r="G572">
        <f>IF(C572="","",C572*$N$5)</f>
        <v/>
      </c>
      <c r="H572">
        <f>IF(C572="","",AVERAGE(C569:C572)*$N$5)</f>
        <v/>
      </c>
      <c r="I572">
        <f>IF(C572="","",AVERAGE(C557:C572)*$N$5)</f>
        <v/>
      </c>
      <c r="J572">
        <f>IF(C572="","",J571+$N$6*(C572*$N$5-J571))</f>
        <v/>
      </c>
      <c r="K572">
        <f>IF(B572="","",B572-B571)</f>
        <v/>
      </c>
    </row>
    <row r="573">
      <c r="G573">
        <f>IF(C573="","",C573*$N$5)</f>
        <v/>
      </c>
      <c r="H573">
        <f>IF(C573="","",AVERAGE(C570:C573)*$N$5)</f>
        <v/>
      </c>
      <c r="I573">
        <f>IF(C573="","",AVERAGE(C558:C573)*$N$5)</f>
        <v/>
      </c>
      <c r="J573">
        <f>IF(C573="","",J572+$N$6*(C573*$N$5-J572))</f>
        <v/>
      </c>
      <c r="K573">
        <f>IF(B573="","",B573-B572)</f>
        <v/>
      </c>
    </row>
    <row r="574">
      <c r="G574">
        <f>IF(C574="","",C574*$N$5)</f>
        <v/>
      </c>
      <c r="H574">
        <f>IF(C574="","",AVERAGE(C571:C574)*$N$5)</f>
        <v/>
      </c>
      <c r="I574">
        <f>IF(C574="","",AVERAGE(C559:C574)*$N$5)</f>
        <v/>
      </c>
      <c r="J574">
        <f>IF(C574="","",J573+$N$6*(C574*$N$5-J573))</f>
        <v/>
      </c>
      <c r="K574">
        <f>IF(B574="","",B574-B573)</f>
        <v/>
      </c>
    </row>
    <row r="575">
      <c r="G575">
        <f>IF(C575="","",C575*$N$5)</f>
        <v/>
      </c>
      <c r="H575">
        <f>IF(C575="","",AVERAGE(C572:C575)*$N$5)</f>
        <v/>
      </c>
      <c r="I575">
        <f>IF(C575="","",AVERAGE(C560:C575)*$N$5)</f>
        <v/>
      </c>
      <c r="J575">
        <f>IF(C575="","",J574+$N$6*(C575*$N$5-J574))</f>
        <v/>
      </c>
      <c r="K575">
        <f>IF(B575="","",B575-B574)</f>
        <v/>
      </c>
    </row>
    <row r="576">
      <c r="G576">
        <f>IF(C576="","",C576*$N$5)</f>
        <v/>
      </c>
      <c r="H576">
        <f>IF(C576="","",AVERAGE(C573:C576)*$N$5)</f>
        <v/>
      </c>
      <c r="I576">
        <f>IF(C576="","",AVERAGE(C561:C576)*$N$5)</f>
        <v/>
      </c>
      <c r="J576">
        <f>IF(C576="","",J575+$N$6*(C576*$N$5-J575))</f>
        <v/>
      </c>
      <c r="K576">
        <f>IF(B576="","",B576-B575)</f>
        <v/>
      </c>
    </row>
    <row r="577">
      <c r="G577">
        <f>IF(C577="","",C577*$N$5)</f>
        <v/>
      </c>
      <c r="H577">
        <f>IF(C577="","",AVERAGE(C574:C577)*$N$5)</f>
        <v/>
      </c>
      <c r="I577">
        <f>IF(C577="","",AVERAGE(C562:C577)*$N$5)</f>
        <v/>
      </c>
      <c r="J577">
        <f>IF(C577="","",J576+$N$6*(C577*$N$5-J576))</f>
        <v/>
      </c>
      <c r="K577">
        <f>IF(B577="","",B577-B576)</f>
        <v/>
      </c>
    </row>
    <row r="578">
      <c r="G578">
        <f>IF(C578="","",C578*$N$5)</f>
        <v/>
      </c>
      <c r="H578">
        <f>IF(C578="","",AVERAGE(C575:C578)*$N$5)</f>
        <v/>
      </c>
      <c r="I578">
        <f>IF(C578="","",AVERAGE(C563:C578)*$N$5)</f>
        <v/>
      </c>
      <c r="J578">
        <f>IF(C578="","",J577+$N$6*(C578*$N$5-J577))</f>
        <v/>
      </c>
      <c r="K578">
        <f>IF(B578="","",B578-B577)</f>
        <v/>
      </c>
    </row>
    <row r="579">
      <c r="G579">
        <f>IF(C579="","",C579*$N$5)</f>
        <v/>
      </c>
      <c r="H579">
        <f>IF(C579="","",AVERAGE(C576:C579)*$N$5)</f>
        <v/>
      </c>
      <c r="I579">
        <f>IF(C579="","",AVERAGE(C564:C579)*$N$5)</f>
        <v/>
      </c>
      <c r="J579">
        <f>IF(C579="","",J578+$N$6*(C579*$N$5-J578))</f>
        <v/>
      </c>
      <c r="K579">
        <f>IF(B579="","",B579-B578)</f>
        <v/>
      </c>
    </row>
    <row r="580">
      <c r="G580">
        <f>IF(C580="","",C580*$N$5)</f>
        <v/>
      </c>
      <c r="H580">
        <f>IF(C580="","",AVERAGE(C577:C580)*$N$5)</f>
        <v/>
      </c>
      <c r="I580">
        <f>IF(C580="","",AVERAGE(C565:C580)*$N$5)</f>
        <v/>
      </c>
      <c r="J580">
        <f>IF(C580="","",J579+$N$6*(C580*$N$5-J579))</f>
        <v/>
      </c>
      <c r="K580">
        <f>IF(B580="","",B580-B579)</f>
        <v/>
      </c>
    </row>
    <row r="581">
      <c r="G581">
        <f>IF(C581="","",C581*$N$5)</f>
        <v/>
      </c>
      <c r="H581">
        <f>IF(C581="","",AVERAGE(C578:C581)*$N$5)</f>
        <v/>
      </c>
      <c r="I581">
        <f>IF(C581="","",AVERAGE(C566:C581)*$N$5)</f>
        <v/>
      </c>
      <c r="J581">
        <f>IF(C581="","",J580+$N$6*(C581*$N$5-J580))</f>
        <v/>
      </c>
      <c r="K581">
        <f>IF(B581="","",B581-B580)</f>
        <v/>
      </c>
    </row>
    <row r="582">
      <c r="G582">
        <f>IF(C582="","",C582*$N$5)</f>
        <v/>
      </c>
      <c r="H582">
        <f>IF(C582="","",AVERAGE(C579:C582)*$N$5)</f>
        <v/>
      </c>
      <c r="I582">
        <f>IF(C582="","",AVERAGE(C567:C582)*$N$5)</f>
        <v/>
      </c>
      <c r="J582">
        <f>IF(C582="","",J581+$N$6*(C582*$N$5-J581))</f>
        <v/>
      </c>
      <c r="K582">
        <f>IF(B582="","",B582-B581)</f>
        <v/>
      </c>
    </row>
    <row r="583">
      <c r="G583">
        <f>IF(C583="","",C583*$N$5)</f>
        <v/>
      </c>
      <c r="H583">
        <f>IF(C583="","",AVERAGE(C580:C583)*$N$5)</f>
        <v/>
      </c>
      <c r="I583">
        <f>IF(C583="","",AVERAGE(C568:C583)*$N$5)</f>
        <v/>
      </c>
      <c r="J583">
        <f>IF(C583="","",J582+$N$6*(C583*$N$5-J582))</f>
        <v/>
      </c>
      <c r="K583">
        <f>IF(B583="","",B583-B582)</f>
        <v/>
      </c>
    </row>
    <row r="584">
      <c r="G584">
        <f>IF(C584="","",C584*$N$5)</f>
        <v/>
      </c>
      <c r="H584">
        <f>IF(C584="","",AVERAGE(C581:C584)*$N$5)</f>
        <v/>
      </c>
      <c r="I584">
        <f>IF(C584="","",AVERAGE(C569:C584)*$N$5)</f>
        <v/>
      </c>
      <c r="J584">
        <f>IF(C584="","",J583+$N$6*(C584*$N$5-J583))</f>
        <v/>
      </c>
      <c r="K584">
        <f>IF(B584="","",B584-B583)</f>
        <v/>
      </c>
    </row>
    <row r="585">
      <c r="G585">
        <f>IF(C585="","",C585*$N$5)</f>
        <v/>
      </c>
      <c r="H585">
        <f>IF(C585="","",AVERAGE(C582:C585)*$N$5)</f>
        <v/>
      </c>
      <c r="I585">
        <f>IF(C585="","",AVERAGE(C570:C585)*$N$5)</f>
        <v/>
      </c>
      <c r="J585">
        <f>IF(C585="","",J584+$N$6*(C585*$N$5-J584))</f>
        <v/>
      </c>
      <c r="K585">
        <f>IF(B585="","",B585-B584)</f>
        <v/>
      </c>
    </row>
    <row r="586">
      <c r="G586">
        <f>IF(C586="","",C586*$N$5)</f>
        <v/>
      </c>
      <c r="H586">
        <f>IF(C586="","",AVERAGE(C583:C586)*$N$5)</f>
        <v/>
      </c>
      <c r="I586">
        <f>IF(C586="","",AVERAGE(C571:C586)*$N$5)</f>
        <v/>
      </c>
      <c r="J586">
        <f>IF(C586="","",J585+$N$6*(C586*$N$5-J585))</f>
        <v/>
      </c>
      <c r="K586">
        <f>IF(B586="","",B586-B585)</f>
        <v/>
      </c>
    </row>
    <row r="587">
      <c r="G587">
        <f>IF(C587="","",C587*$N$5)</f>
        <v/>
      </c>
      <c r="H587">
        <f>IF(C587="","",AVERAGE(C584:C587)*$N$5)</f>
        <v/>
      </c>
      <c r="I587">
        <f>IF(C587="","",AVERAGE(C572:C587)*$N$5)</f>
        <v/>
      </c>
      <c r="J587">
        <f>IF(C587="","",J586+$N$6*(C587*$N$5-J586))</f>
        <v/>
      </c>
      <c r="K587">
        <f>IF(B587="","",B587-B586)</f>
        <v/>
      </c>
    </row>
    <row r="588">
      <c r="G588">
        <f>IF(C588="","",C588*$N$5)</f>
        <v/>
      </c>
      <c r="H588">
        <f>IF(C588="","",AVERAGE(C585:C588)*$N$5)</f>
        <v/>
      </c>
      <c r="I588">
        <f>IF(C588="","",AVERAGE(C573:C588)*$N$5)</f>
        <v/>
      </c>
      <c r="J588">
        <f>IF(C588="","",J587+$N$6*(C588*$N$5-J587))</f>
        <v/>
      </c>
      <c r="K588">
        <f>IF(B588="","",B588-B587)</f>
        <v/>
      </c>
    </row>
    <row r="589">
      <c r="G589">
        <f>IF(C589="","",C589*$N$5)</f>
        <v/>
      </c>
      <c r="H589">
        <f>IF(C589="","",AVERAGE(C586:C589)*$N$5)</f>
        <v/>
      </c>
      <c r="I589">
        <f>IF(C589="","",AVERAGE(C574:C589)*$N$5)</f>
        <v/>
      </c>
      <c r="J589">
        <f>IF(C589="","",J588+$N$6*(C589*$N$5-J588))</f>
        <v/>
      </c>
      <c r="K589">
        <f>IF(B589="","",B589-B588)</f>
        <v/>
      </c>
    </row>
    <row r="590">
      <c r="G590">
        <f>IF(C590="","",C590*$N$5)</f>
        <v/>
      </c>
      <c r="H590">
        <f>IF(C590="","",AVERAGE(C587:C590)*$N$5)</f>
        <v/>
      </c>
      <c r="I590">
        <f>IF(C590="","",AVERAGE(C575:C590)*$N$5)</f>
        <v/>
      </c>
      <c r="J590">
        <f>IF(C590="","",J589+$N$6*(C590*$N$5-J589))</f>
        <v/>
      </c>
      <c r="K590">
        <f>IF(B590="","",B590-B589)</f>
        <v/>
      </c>
    </row>
    <row r="591">
      <c r="G591">
        <f>IF(C591="","",C591*$N$5)</f>
        <v/>
      </c>
      <c r="H591">
        <f>IF(C591="","",AVERAGE(C588:C591)*$N$5)</f>
        <v/>
      </c>
      <c r="I591">
        <f>IF(C591="","",AVERAGE(C576:C591)*$N$5)</f>
        <v/>
      </c>
      <c r="J591">
        <f>IF(C591="","",J590+$N$6*(C591*$N$5-J590))</f>
        <v/>
      </c>
      <c r="K591">
        <f>IF(B591="","",B591-B590)</f>
        <v/>
      </c>
    </row>
    <row r="592">
      <c r="G592">
        <f>IF(C592="","",C592*$N$5)</f>
        <v/>
      </c>
      <c r="H592">
        <f>IF(C592="","",AVERAGE(C589:C592)*$N$5)</f>
        <v/>
      </c>
      <c r="I592">
        <f>IF(C592="","",AVERAGE(C577:C592)*$N$5)</f>
        <v/>
      </c>
      <c r="J592">
        <f>IF(C592="","",J591+$N$6*(C592*$N$5-J591))</f>
        <v/>
      </c>
      <c r="K592">
        <f>IF(B592="","",B592-B591)</f>
        <v/>
      </c>
    </row>
    <row r="593">
      <c r="G593">
        <f>IF(C593="","",C593*$N$5)</f>
        <v/>
      </c>
      <c r="H593">
        <f>IF(C593="","",AVERAGE(C590:C593)*$N$5)</f>
        <v/>
      </c>
      <c r="I593">
        <f>IF(C593="","",AVERAGE(C578:C593)*$N$5)</f>
        <v/>
      </c>
      <c r="J593">
        <f>IF(C593="","",J592+$N$6*(C593*$N$5-J592))</f>
        <v/>
      </c>
      <c r="K593">
        <f>IF(B593="","",B593-B592)</f>
        <v/>
      </c>
    </row>
    <row r="594">
      <c r="G594">
        <f>IF(C594="","",C594*$N$5)</f>
        <v/>
      </c>
      <c r="H594">
        <f>IF(C594="","",AVERAGE(C591:C594)*$N$5)</f>
        <v/>
      </c>
      <c r="I594">
        <f>IF(C594="","",AVERAGE(C579:C594)*$N$5)</f>
        <v/>
      </c>
      <c r="J594">
        <f>IF(C594="","",J593+$N$6*(C594*$N$5-J593))</f>
        <v/>
      </c>
      <c r="K594">
        <f>IF(B594="","",B594-B593)</f>
        <v/>
      </c>
    </row>
    <row r="595">
      <c r="G595">
        <f>IF(C595="","",C595*$N$5)</f>
        <v/>
      </c>
      <c r="H595">
        <f>IF(C595="","",AVERAGE(C592:C595)*$N$5)</f>
        <v/>
      </c>
      <c r="I595">
        <f>IF(C595="","",AVERAGE(C580:C595)*$N$5)</f>
        <v/>
      </c>
      <c r="J595">
        <f>IF(C595="","",J594+$N$6*(C595*$N$5-J594))</f>
        <v/>
      </c>
      <c r="K595">
        <f>IF(B595="","",B595-B594)</f>
        <v/>
      </c>
    </row>
    <row r="596">
      <c r="G596">
        <f>IF(C596="","",C596*$N$5)</f>
        <v/>
      </c>
      <c r="H596">
        <f>IF(C596="","",AVERAGE(C593:C596)*$N$5)</f>
        <v/>
      </c>
      <c r="I596">
        <f>IF(C596="","",AVERAGE(C581:C596)*$N$5)</f>
        <v/>
      </c>
      <c r="J596">
        <f>IF(C596="","",J595+$N$6*(C596*$N$5-J595))</f>
        <v/>
      </c>
      <c r="K596">
        <f>IF(B596="","",B596-B595)</f>
        <v/>
      </c>
    </row>
    <row r="597">
      <c r="G597">
        <f>IF(C597="","",C597*$N$5)</f>
        <v/>
      </c>
      <c r="H597">
        <f>IF(C597="","",AVERAGE(C594:C597)*$N$5)</f>
        <v/>
      </c>
      <c r="I597">
        <f>IF(C597="","",AVERAGE(C582:C597)*$N$5)</f>
        <v/>
      </c>
      <c r="J597">
        <f>IF(C597="","",J596+$N$6*(C597*$N$5-J596))</f>
        <v/>
      </c>
      <c r="K597">
        <f>IF(B597="","",B597-B596)</f>
        <v/>
      </c>
    </row>
    <row r="598">
      <c r="G598">
        <f>IF(C598="","",C598*$N$5)</f>
        <v/>
      </c>
      <c r="H598">
        <f>IF(C598="","",AVERAGE(C595:C598)*$N$5)</f>
        <v/>
      </c>
      <c r="I598">
        <f>IF(C598="","",AVERAGE(C583:C598)*$N$5)</f>
        <v/>
      </c>
      <c r="J598">
        <f>IF(C598="","",J597+$N$6*(C598*$N$5-J597))</f>
        <v/>
      </c>
      <c r="K598">
        <f>IF(B598="","",B598-B597)</f>
        <v/>
      </c>
    </row>
    <row r="599">
      <c r="G599">
        <f>IF(C599="","",C599*$N$5)</f>
        <v/>
      </c>
      <c r="H599">
        <f>IF(C599="","",AVERAGE(C596:C599)*$N$5)</f>
        <v/>
      </c>
      <c r="I599">
        <f>IF(C599="","",AVERAGE(C584:C599)*$N$5)</f>
        <v/>
      </c>
      <c r="J599">
        <f>IF(C599="","",J598+$N$6*(C599*$N$5-J598))</f>
        <v/>
      </c>
      <c r="K599">
        <f>IF(B599="","",B599-B598)</f>
        <v/>
      </c>
    </row>
    <row r="600">
      <c r="G600">
        <f>IF(C600="","",C600*$N$5)</f>
        <v/>
      </c>
      <c r="H600">
        <f>IF(C600="","",AVERAGE(C597:C600)*$N$5)</f>
        <v/>
      </c>
      <c r="I600">
        <f>IF(C600="","",AVERAGE(C585:C600)*$N$5)</f>
        <v/>
      </c>
      <c r="J600">
        <f>IF(C600="","",J599+$N$6*(C600*$N$5-J599))</f>
        <v/>
      </c>
      <c r="K600">
        <f>IF(B600="","",B600-B599)</f>
        <v/>
      </c>
    </row>
    <row r="601">
      <c r="G601">
        <f>IF(C601="","",C601*$N$5)</f>
        <v/>
      </c>
      <c r="H601">
        <f>IF(C601="","",AVERAGE(C598:C601)*$N$5)</f>
        <v/>
      </c>
      <c r="I601">
        <f>IF(C601="","",AVERAGE(C586:C601)*$N$5)</f>
        <v/>
      </c>
      <c r="J601">
        <f>IF(C601="","",J600+$N$6*(C601*$N$5-J600))</f>
        <v/>
      </c>
      <c r="K601">
        <f>IF(B601="","",B601-B600)</f>
        <v/>
      </c>
    </row>
    <row r="602">
      <c r="G602">
        <f>IF(C602="","",C602*$N$5)</f>
        <v/>
      </c>
      <c r="H602">
        <f>IF(C602="","",AVERAGE(C599:C602)*$N$5)</f>
        <v/>
      </c>
      <c r="I602">
        <f>IF(C602="","",AVERAGE(C587:C602)*$N$5)</f>
        <v/>
      </c>
      <c r="J602">
        <f>IF(C602="","",J601+$N$6*(C602*$N$5-J601))</f>
        <v/>
      </c>
      <c r="K602">
        <f>IF(B602="","",B602-B601)</f>
        <v/>
      </c>
    </row>
    <row r="603">
      <c r="G603">
        <f>IF(C603="","",C603*$N$5)</f>
        <v/>
      </c>
      <c r="H603">
        <f>IF(C603="","",AVERAGE(C600:C603)*$N$5)</f>
        <v/>
      </c>
      <c r="I603">
        <f>IF(C603="","",AVERAGE(C588:C603)*$N$5)</f>
        <v/>
      </c>
      <c r="J603">
        <f>IF(C603="","",J602+$N$6*(C603*$N$5-J602))</f>
        <v/>
      </c>
      <c r="K603">
        <f>IF(B603="","",B603-B602)</f>
        <v/>
      </c>
    </row>
    <row r="604">
      <c r="G604">
        <f>IF(C604="","",C604*$N$5)</f>
        <v/>
      </c>
      <c r="H604">
        <f>IF(C604="","",AVERAGE(C601:C604)*$N$5)</f>
        <v/>
      </c>
      <c r="I604">
        <f>IF(C604="","",AVERAGE(C589:C604)*$N$5)</f>
        <v/>
      </c>
      <c r="J604">
        <f>IF(C604="","",J603+$N$6*(C604*$N$5-J603))</f>
        <v/>
      </c>
      <c r="K604">
        <f>IF(B604="","",B604-B603)</f>
        <v/>
      </c>
    </row>
    <row r="605">
      <c r="G605">
        <f>IF(C605="","",C605*$N$5)</f>
        <v/>
      </c>
      <c r="H605">
        <f>IF(C605="","",AVERAGE(C602:C605)*$N$5)</f>
        <v/>
      </c>
      <c r="I605">
        <f>IF(C605="","",AVERAGE(C590:C605)*$N$5)</f>
        <v/>
      </c>
      <c r="J605">
        <f>IF(C605="","",J604+$N$6*(C605*$N$5-J604))</f>
        <v/>
      </c>
      <c r="K605">
        <f>IF(B605="","",B605-B604)</f>
        <v/>
      </c>
    </row>
    <row r="606">
      <c r="G606">
        <f>IF(C606="","",C606*$N$5)</f>
        <v/>
      </c>
      <c r="H606">
        <f>IF(C606="","",AVERAGE(C603:C606)*$N$5)</f>
        <v/>
      </c>
      <c r="I606">
        <f>IF(C606="","",AVERAGE(C591:C606)*$N$5)</f>
        <v/>
      </c>
      <c r="J606">
        <f>IF(C606="","",J605+$N$6*(C606*$N$5-J605))</f>
        <v/>
      </c>
      <c r="K606">
        <f>IF(B606="","",B606-B605)</f>
        <v/>
      </c>
    </row>
    <row r="607">
      <c r="G607">
        <f>IF(C607="","",C607*$N$5)</f>
        <v/>
      </c>
      <c r="H607">
        <f>IF(C607="","",AVERAGE(C604:C607)*$N$5)</f>
        <v/>
      </c>
      <c r="I607">
        <f>IF(C607="","",AVERAGE(C592:C607)*$N$5)</f>
        <v/>
      </c>
      <c r="J607">
        <f>IF(C607="","",J606+$N$6*(C607*$N$5-J606))</f>
        <v/>
      </c>
      <c r="K607">
        <f>IF(B607="","",B607-B606)</f>
        <v/>
      </c>
    </row>
    <row r="608">
      <c r="G608">
        <f>IF(C608="","",C608*$N$5)</f>
        <v/>
      </c>
      <c r="H608">
        <f>IF(C608="","",AVERAGE(C605:C608)*$N$5)</f>
        <v/>
      </c>
      <c r="I608">
        <f>IF(C608="","",AVERAGE(C593:C608)*$N$5)</f>
        <v/>
      </c>
      <c r="J608">
        <f>IF(C608="","",J607+$N$6*(C608*$N$5-J607))</f>
        <v/>
      </c>
      <c r="K608">
        <f>IF(B608="","",B608-B607)</f>
        <v/>
      </c>
    </row>
    <row r="609">
      <c r="G609">
        <f>IF(C609="","",C609*$N$5)</f>
        <v/>
      </c>
      <c r="H609">
        <f>IF(C609="","",AVERAGE(C606:C609)*$N$5)</f>
        <v/>
      </c>
      <c r="I609">
        <f>IF(C609="","",AVERAGE(C594:C609)*$N$5)</f>
        <v/>
      </c>
      <c r="J609">
        <f>IF(C609="","",J608+$N$6*(C609*$N$5-J608))</f>
        <v/>
      </c>
      <c r="K609">
        <f>IF(B609="","",B609-B608)</f>
        <v/>
      </c>
    </row>
    <row r="610">
      <c r="G610">
        <f>IF(C610="","",C610*$N$5)</f>
        <v/>
      </c>
      <c r="H610">
        <f>IF(C610="","",AVERAGE(C607:C610)*$N$5)</f>
        <v/>
      </c>
      <c r="I610">
        <f>IF(C610="","",AVERAGE(C595:C610)*$N$5)</f>
        <v/>
      </c>
      <c r="J610">
        <f>IF(C610="","",J609+$N$6*(C610*$N$5-J609))</f>
        <v/>
      </c>
      <c r="K610">
        <f>IF(B610="","",B610-B609)</f>
        <v/>
      </c>
    </row>
    <row r="611">
      <c r="G611">
        <f>IF(C611="","",C611*$N$5)</f>
        <v/>
      </c>
      <c r="H611">
        <f>IF(C611="","",AVERAGE(C608:C611)*$N$5)</f>
        <v/>
      </c>
      <c r="I611">
        <f>IF(C611="","",AVERAGE(C596:C611)*$N$5)</f>
        <v/>
      </c>
      <c r="J611">
        <f>IF(C611="","",J610+$N$6*(C611*$N$5-J610))</f>
        <v/>
      </c>
      <c r="K611">
        <f>IF(B611="","",B611-B610)</f>
        <v/>
      </c>
    </row>
    <row r="612">
      <c r="G612">
        <f>IF(C612="","",C612*$N$5)</f>
        <v/>
      </c>
      <c r="H612">
        <f>IF(C612="","",AVERAGE(C609:C612)*$N$5)</f>
        <v/>
      </c>
      <c r="I612">
        <f>IF(C612="","",AVERAGE(C597:C612)*$N$5)</f>
        <v/>
      </c>
      <c r="J612">
        <f>IF(C612="","",J611+$N$6*(C612*$N$5-J611))</f>
        <v/>
      </c>
      <c r="K612">
        <f>IF(B612="","",B612-B611)</f>
        <v/>
      </c>
    </row>
    <row r="613">
      <c r="G613">
        <f>IF(C613="","",C613*$N$5)</f>
        <v/>
      </c>
      <c r="H613">
        <f>IF(C613="","",AVERAGE(C610:C613)*$N$5)</f>
        <v/>
      </c>
      <c r="I613">
        <f>IF(C613="","",AVERAGE(C598:C613)*$N$5)</f>
        <v/>
      </c>
      <c r="J613">
        <f>IF(C613="","",J612+$N$6*(C613*$N$5-J612))</f>
        <v/>
      </c>
      <c r="K613">
        <f>IF(B613="","",B613-B612)</f>
        <v/>
      </c>
    </row>
    <row r="614">
      <c r="G614">
        <f>IF(C614="","",C614*$N$5)</f>
        <v/>
      </c>
      <c r="H614">
        <f>IF(C614="","",AVERAGE(C611:C614)*$N$5)</f>
        <v/>
      </c>
      <c r="I614">
        <f>IF(C614="","",AVERAGE(C599:C614)*$N$5)</f>
        <v/>
      </c>
      <c r="J614">
        <f>IF(C614="","",J613+$N$6*(C614*$N$5-J613))</f>
        <v/>
      </c>
      <c r="K614">
        <f>IF(B614="","",B614-B613)</f>
        <v/>
      </c>
    </row>
    <row r="615">
      <c r="G615">
        <f>IF(C615="","",C615*$N$5)</f>
        <v/>
      </c>
      <c r="H615">
        <f>IF(C615="","",AVERAGE(C612:C615)*$N$5)</f>
        <v/>
      </c>
      <c r="I615">
        <f>IF(C615="","",AVERAGE(C600:C615)*$N$5)</f>
        <v/>
      </c>
      <c r="J615">
        <f>IF(C615="","",J614+$N$6*(C615*$N$5-J614))</f>
        <v/>
      </c>
      <c r="K615">
        <f>IF(B615="","",B615-B614)</f>
        <v/>
      </c>
    </row>
    <row r="616">
      <c r="G616">
        <f>IF(C616="","",C616*$N$5)</f>
        <v/>
      </c>
      <c r="H616">
        <f>IF(C616="","",AVERAGE(C613:C616)*$N$5)</f>
        <v/>
      </c>
      <c r="I616">
        <f>IF(C616="","",AVERAGE(C601:C616)*$N$5)</f>
        <v/>
      </c>
      <c r="J616">
        <f>IF(C616="","",J615+$N$6*(C616*$N$5-J615))</f>
        <v/>
      </c>
      <c r="K616">
        <f>IF(B616="","",B616-B615)</f>
        <v/>
      </c>
    </row>
    <row r="617">
      <c r="G617">
        <f>IF(C617="","",C617*$N$5)</f>
        <v/>
      </c>
      <c r="H617">
        <f>IF(C617="","",AVERAGE(C614:C617)*$N$5)</f>
        <v/>
      </c>
      <c r="I617">
        <f>IF(C617="","",AVERAGE(C602:C617)*$N$5)</f>
        <v/>
      </c>
      <c r="J617">
        <f>IF(C617="","",J616+$N$6*(C617*$N$5-J616))</f>
        <v/>
      </c>
      <c r="K617">
        <f>IF(B617="","",B617-B616)</f>
        <v/>
      </c>
    </row>
    <row r="618">
      <c r="G618">
        <f>IF(C618="","",C618*$N$5)</f>
        <v/>
      </c>
      <c r="H618">
        <f>IF(C618="","",AVERAGE(C615:C618)*$N$5)</f>
        <v/>
      </c>
      <c r="I618">
        <f>IF(C618="","",AVERAGE(C603:C618)*$N$5)</f>
        <v/>
      </c>
      <c r="J618">
        <f>IF(C618="","",J617+$N$6*(C618*$N$5-J617))</f>
        <v/>
      </c>
      <c r="K618">
        <f>IF(B618="","",B618-B617)</f>
        <v/>
      </c>
    </row>
    <row r="619">
      <c r="G619">
        <f>IF(C619="","",C619*$N$5)</f>
        <v/>
      </c>
      <c r="H619">
        <f>IF(C619="","",AVERAGE(C616:C619)*$N$5)</f>
        <v/>
      </c>
      <c r="I619">
        <f>IF(C619="","",AVERAGE(C604:C619)*$N$5)</f>
        <v/>
      </c>
      <c r="J619">
        <f>IF(C619="","",J618+$N$6*(C619*$N$5-J618))</f>
        <v/>
      </c>
      <c r="K619">
        <f>IF(B619="","",B619-B618)</f>
        <v/>
      </c>
    </row>
    <row r="620">
      <c r="G620">
        <f>IF(C620="","",C620*$N$5)</f>
        <v/>
      </c>
      <c r="H620">
        <f>IF(C620="","",AVERAGE(C617:C620)*$N$5)</f>
        <v/>
      </c>
      <c r="I620">
        <f>IF(C620="","",AVERAGE(C605:C620)*$N$5)</f>
        <v/>
      </c>
      <c r="J620">
        <f>IF(C620="","",J619+$N$6*(C620*$N$5-J619))</f>
        <v/>
      </c>
      <c r="K620">
        <f>IF(B620="","",B620-B619)</f>
        <v/>
      </c>
    </row>
    <row r="621">
      <c r="G621">
        <f>IF(C621="","",C621*$N$5)</f>
        <v/>
      </c>
      <c r="H621">
        <f>IF(C621="","",AVERAGE(C618:C621)*$N$5)</f>
        <v/>
      </c>
      <c r="I621">
        <f>IF(C621="","",AVERAGE(C606:C621)*$N$5)</f>
        <v/>
      </c>
      <c r="J621">
        <f>IF(C621="","",J620+$N$6*(C621*$N$5-J620))</f>
        <v/>
      </c>
      <c r="K621">
        <f>IF(B621="","",B621-B620)</f>
        <v/>
      </c>
    </row>
    <row r="622">
      <c r="G622">
        <f>IF(C622="","",C622*$N$5)</f>
        <v/>
      </c>
      <c r="H622">
        <f>IF(C622="","",AVERAGE(C619:C622)*$N$5)</f>
        <v/>
      </c>
      <c r="I622">
        <f>IF(C622="","",AVERAGE(C607:C622)*$N$5)</f>
        <v/>
      </c>
      <c r="J622">
        <f>IF(C622="","",J621+$N$6*(C622*$N$5-J621))</f>
        <v/>
      </c>
      <c r="K622">
        <f>IF(B622="","",B622-B621)</f>
        <v/>
      </c>
    </row>
    <row r="623">
      <c r="G623">
        <f>IF(C623="","",C623*$N$5)</f>
        <v/>
      </c>
      <c r="H623">
        <f>IF(C623="","",AVERAGE(C620:C623)*$N$5)</f>
        <v/>
      </c>
      <c r="I623">
        <f>IF(C623="","",AVERAGE(C608:C623)*$N$5)</f>
        <v/>
      </c>
      <c r="J623">
        <f>IF(C623="","",J622+$N$6*(C623*$N$5-J622))</f>
        <v/>
      </c>
      <c r="K623">
        <f>IF(B623="","",B623-B622)</f>
        <v/>
      </c>
    </row>
    <row r="624">
      <c r="G624">
        <f>IF(C624="","",C624*$N$5)</f>
        <v/>
      </c>
      <c r="H624">
        <f>IF(C624="","",AVERAGE(C621:C624)*$N$5)</f>
        <v/>
      </c>
      <c r="I624">
        <f>IF(C624="","",AVERAGE(C609:C624)*$N$5)</f>
        <v/>
      </c>
      <c r="J624">
        <f>IF(C624="","",J623+$N$6*(C624*$N$5-J623))</f>
        <v/>
      </c>
      <c r="K624">
        <f>IF(B624="","",B624-B623)</f>
        <v/>
      </c>
    </row>
    <row r="625">
      <c r="G625">
        <f>IF(C625="","",C625*$N$5)</f>
        <v/>
      </c>
      <c r="H625">
        <f>IF(C625="","",AVERAGE(C622:C625)*$N$5)</f>
        <v/>
      </c>
      <c r="I625">
        <f>IF(C625="","",AVERAGE(C610:C625)*$N$5)</f>
        <v/>
      </c>
      <c r="J625">
        <f>IF(C625="","",J624+$N$6*(C625*$N$5-J624))</f>
        <v/>
      </c>
      <c r="K625">
        <f>IF(B625="","",B625-B624)</f>
        <v/>
      </c>
    </row>
    <row r="626">
      <c r="G626">
        <f>IF(C626="","",C626*$N$5)</f>
        <v/>
      </c>
      <c r="H626">
        <f>IF(C626="","",AVERAGE(C623:C626)*$N$5)</f>
        <v/>
      </c>
      <c r="I626">
        <f>IF(C626="","",AVERAGE(C611:C626)*$N$5)</f>
        <v/>
      </c>
      <c r="J626">
        <f>IF(C626="","",J625+$N$6*(C626*$N$5-J625))</f>
        <v/>
      </c>
      <c r="K626">
        <f>IF(B626="","",B626-B625)</f>
        <v/>
      </c>
    </row>
    <row r="627">
      <c r="G627">
        <f>IF(C627="","",C627*$N$5)</f>
        <v/>
      </c>
      <c r="H627">
        <f>IF(C627="","",AVERAGE(C624:C627)*$N$5)</f>
        <v/>
      </c>
      <c r="I627">
        <f>IF(C627="","",AVERAGE(C612:C627)*$N$5)</f>
        <v/>
      </c>
      <c r="J627">
        <f>IF(C627="","",J626+$N$6*(C627*$N$5-J626))</f>
        <v/>
      </c>
      <c r="K627">
        <f>IF(B627="","",B627-B626)</f>
        <v/>
      </c>
    </row>
    <row r="628">
      <c r="G628">
        <f>IF(C628="","",C628*$N$5)</f>
        <v/>
      </c>
      <c r="H628">
        <f>IF(C628="","",AVERAGE(C625:C628)*$N$5)</f>
        <v/>
      </c>
      <c r="I628">
        <f>IF(C628="","",AVERAGE(C613:C628)*$N$5)</f>
        <v/>
      </c>
      <c r="J628">
        <f>IF(C628="","",J627+$N$6*(C628*$N$5-J627))</f>
        <v/>
      </c>
      <c r="K628">
        <f>IF(B628="","",B628-B627)</f>
        <v/>
      </c>
    </row>
    <row r="629">
      <c r="G629">
        <f>IF(C629="","",C629*$N$5)</f>
        <v/>
      </c>
      <c r="H629">
        <f>IF(C629="","",AVERAGE(C626:C629)*$N$5)</f>
        <v/>
      </c>
      <c r="I629">
        <f>IF(C629="","",AVERAGE(C614:C629)*$N$5)</f>
        <v/>
      </c>
      <c r="J629">
        <f>IF(C629="","",J628+$N$6*(C629*$N$5-J628))</f>
        <v/>
      </c>
      <c r="K629">
        <f>IF(B629="","",B629-B628)</f>
        <v/>
      </c>
    </row>
    <row r="630">
      <c r="G630">
        <f>IF(C630="","",C630*$N$5)</f>
        <v/>
      </c>
      <c r="H630">
        <f>IF(C630="","",AVERAGE(C627:C630)*$N$5)</f>
        <v/>
      </c>
      <c r="I630">
        <f>IF(C630="","",AVERAGE(C615:C630)*$N$5)</f>
        <v/>
      </c>
      <c r="J630">
        <f>IF(C630="","",J629+$N$6*(C630*$N$5-J629))</f>
        <v/>
      </c>
      <c r="K630">
        <f>IF(B630="","",B630-B629)</f>
        <v/>
      </c>
    </row>
    <row r="631">
      <c r="G631">
        <f>IF(C631="","",C631*$N$5)</f>
        <v/>
      </c>
      <c r="H631">
        <f>IF(C631="","",AVERAGE(C628:C631)*$N$5)</f>
        <v/>
      </c>
      <c r="I631">
        <f>IF(C631="","",AVERAGE(C616:C631)*$N$5)</f>
        <v/>
      </c>
      <c r="J631">
        <f>IF(C631="","",J630+$N$6*(C631*$N$5-J630))</f>
        <v/>
      </c>
      <c r="K631">
        <f>IF(B631="","",B631-B630)</f>
        <v/>
      </c>
    </row>
    <row r="632">
      <c r="G632">
        <f>IF(C632="","",C632*$N$5)</f>
        <v/>
      </c>
      <c r="H632">
        <f>IF(C632="","",AVERAGE(C629:C632)*$N$5)</f>
        <v/>
      </c>
      <c r="I632">
        <f>IF(C632="","",AVERAGE(C617:C632)*$N$5)</f>
        <v/>
      </c>
      <c r="J632">
        <f>IF(C632="","",J631+$N$6*(C632*$N$5-J631))</f>
        <v/>
      </c>
      <c r="K632">
        <f>IF(B632="","",B632-B631)</f>
        <v/>
      </c>
    </row>
    <row r="633">
      <c r="G633">
        <f>IF(C633="","",C633*$N$5)</f>
        <v/>
      </c>
      <c r="H633">
        <f>IF(C633="","",AVERAGE(C630:C633)*$N$5)</f>
        <v/>
      </c>
      <c r="I633">
        <f>IF(C633="","",AVERAGE(C618:C633)*$N$5)</f>
        <v/>
      </c>
      <c r="J633">
        <f>IF(C633="","",J632+$N$6*(C633*$N$5-J632))</f>
        <v/>
      </c>
      <c r="K633">
        <f>IF(B633="","",B633-B632)</f>
        <v/>
      </c>
    </row>
    <row r="634">
      <c r="G634">
        <f>IF(C634="","",C634*$N$5)</f>
        <v/>
      </c>
      <c r="H634">
        <f>IF(C634="","",AVERAGE(C631:C634)*$N$5)</f>
        <v/>
      </c>
      <c r="I634">
        <f>IF(C634="","",AVERAGE(C619:C634)*$N$5)</f>
        <v/>
      </c>
      <c r="J634">
        <f>IF(C634="","",J633+$N$6*(C634*$N$5-J633))</f>
        <v/>
      </c>
      <c r="K634">
        <f>IF(B634="","",B634-B633)</f>
        <v/>
      </c>
    </row>
    <row r="635">
      <c r="G635">
        <f>IF(C635="","",C635*$N$5)</f>
        <v/>
      </c>
      <c r="H635">
        <f>IF(C635="","",AVERAGE(C632:C635)*$N$5)</f>
        <v/>
      </c>
      <c r="I635">
        <f>IF(C635="","",AVERAGE(C620:C635)*$N$5)</f>
        <v/>
      </c>
      <c r="J635">
        <f>IF(C635="","",J634+$N$6*(C635*$N$5-J634))</f>
        <v/>
      </c>
      <c r="K635">
        <f>IF(B635="","",B635-B634)</f>
        <v/>
      </c>
    </row>
    <row r="636">
      <c r="G636">
        <f>IF(C636="","",C636*$N$5)</f>
        <v/>
      </c>
      <c r="H636">
        <f>IF(C636="","",AVERAGE(C633:C636)*$N$5)</f>
        <v/>
      </c>
      <c r="I636">
        <f>IF(C636="","",AVERAGE(C621:C636)*$N$5)</f>
        <v/>
      </c>
      <c r="J636">
        <f>IF(C636="","",J635+$N$6*(C636*$N$5-J635))</f>
        <v/>
      </c>
      <c r="K636">
        <f>IF(B636="","",B636-B635)</f>
        <v/>
      </c>
    </row>
    <row r="637">
      <c r="G637">
        <f>IF(C637="","",C637*$N$5)</f>
        <v/>
      </c>
      <c r="H637">
        <f>IF(C637="","",AVERAGE(C634:C637)*$N$5)</f>
        <v/>
      </c>
      <c r="I637">
        <f>IF(C637="","",AVERAGE(C622:C637)*$N$5)</f>
        <v/>
      </c>
      <c r="J637">
        <f>IF(C637="","",J636+$N$6*(C637*$N$5-J636))</f>
        <v/>
      </c>
      <c r="K637">
        <f>IF(B637="","",B637-B636)</f>
        <v/>
      </c>
    </row>
    <row r="638">
      <c r="G638">
        <f>IF(C638="","",C638*$N$5)</f>
        <v/>
      </c>
      <c r="H638">
        <f>IF(C638="","",AVERAGE(C635:C638)*$N$5)</f>
        <v/>
      </c>
      <c r="I638">
        <f>IF(C638="","",AVERAGE(C623:C638)*$N$5)</f>
        <v/>
      </c>
      <c r="J638">
        <f>IF(C638="","",J637+$N$6*(C638*$N$5-J637))</f>
        <v/>
      </c>
      <c r="K638">
        <f>IF(B638="","",B638-B637)</f>
        <v/>
      </c>
    </row>
    <row r="639">
      <c r="G639">
        <f>IF(C639="","",C639*$N$5)</f>
        <v/>
      </c>
      <c r="H639">
        <f>IF(C639="","",AVERAGE(C636:C639)*$N$5)</f>
        <v/>
      </c>
      <c r="I639">
        <f>IF(C639="","",AVERAGE(C624:C639)*$N$5)</f>
        <v/>
      </c>
      <c r="J639">
        <f>IF(C639="","",J638+$N$6*(C639*$N$5-J638))</f>
        <v/>
      </c>
      <c r="K639">
        <f>IF(B639="","",B639-B638)</f>
        <v/>
      </c>
    </row>
    <row r="640">
      <c r="G640">
        <f>IF(C640="","",C640*$N$5)</f>
        <v/>
      </c>
      <c r="H640">
        <f>IF(C640="","",AVERAGE(C637:C640)*$N$5)</f>
        <v/>
      </c>
      <c r="I640">
        <f>IF(C640="","",AVERAGE(C625:C640)*$N$5)</f>
        <v/>
      </c>
      <c r="J640">
        <f>IF(C640="","",J639+$N$6*(C640*$N$5-J639))</f>
        <v/>
      </c>
      <c r="K640">
        <f>IF(B640="","",B640-B639)</f>
        <v/>
      </c>
    </row>
    <row r="641">
      <c r="G641">
        <f>IF(C641="","",C641*$N$5)</f>
        <v/>
      </c>
      <c r="H641">
        <f>IF(C641="","",AVERAGE(C638:C641)*$N$5)</f>
        <v/>
      </c>
      <c r="I641">
        <f>IF(C641="","",AVERAGE(C626:C641)*$N$5)</f>
        <v/>
      </c>
      <c r="J641">
        <f>IF(C641="","",J640+$N$6*(C641*$N$5-J640))</f>
        <v/>
      </c>
      <c r="K641">
        <f>IF(B641="","",B641-B640)</f>
        <v/>
      </c>
    </row>
    <row r="642">
      <c r="G642">
        <f>IF(C642="","",C642*$N$5)</f>
        <v/>
      </c>
      <c r="H642">
        <f>IF(C642="","",AVERAGE(C639:C642)*$N$5)</f>
        <v/>
      </c>
      <c r="I642">
        <f>IF(C642="","",AVERAGE(C627:C642)*$N$5)</f>
        <v/>
      </c>
      <c r="J642">
        <f>IF(C642="","",J641+$N$6*(C642*$N$5-J641))</f>
        <v/>
      </c>
      <c r="K642">
        <f>IF(B642="","",B642-B641)</f>
        <v/>
      </c>
    </row>
    <row r="643">
      <c r="G643">
        <f>IF(C643="","",C643*$N$5)</f>
        <v/>
      </c>
      <c r="H643">
        <f>IF(C643="","",AVERAGE(C640:C643)*$N$5)</f>
        <v/>
      </c>
      <c r="I643">
        <f>IF(C643="","",AVERAGE(C628:C643)*$N$5)</f>
        <v/>
      </c>
      <c r="J643">
        <f>IF(C643="","",J642+$N$6*(C643*$N$5-J642))</f>
        <v/>
      </c>
      <c r="K643">
        <f>IF(B643="","",B643-B642)</f>
        <v/>
      </c>
    </row>
    <row r="644">
      <c r="G644">
        <f>IF(C644="","",C644*$N$5)</f>
        <v/>
      </c>
      <c r="H644">
        <f>IF(C644="","",AVERAGE(C641:C644)*$N$5)</f>
        <v/>
      </c>
      <c r="I644">
        <f>IF(C644="","",AVERAGE(C629:C644)*$N$5)</f>
        <v/>
      </c>
      <c r="J644">
        <f>IF(C644="","",J643+$N$6*(C644*$N$5-J643))</f>
        <v/>
      </c>
      <c r="K644">
        <f>IF(B644="","",B644-B643)</f>
        <v/>
      </c>
    </row>
    <row r="645">
      <c r="G645">
        <f>IF(C645="","",C645*$N$5)</f>
        <v/>
      </c>
      <c r="H645">
        <f>IF(C645="","",AVERAGE(C642:C645)*$N$5)</f>
        <v/>
      </c>
      <c r="I645">
        <f>IF(C645="","",AVERAGE(C630:C645)*$N$5)</f>
        <v/>
      </c>
      <c r="J645">
        <f>IF(C645="","",J644+$N$6*(C645*$N$5-J644))</f>
        <v/>
      </c>
      <c r="K645">
        <f>IF(B645="","",B645-B644)</f>
        <v/>
      </c>
    </row>
    <row r="646">
      <c r="G646">
        <f>IF(C646="","",C646*$N$5)</f>
        <v/>
      </c>
      <c r="H646">
        <f>IF(C646="","",AVERAGE(C643:C646)*$N$5)</f>
        <v/>
      </c>
      <c r="I646">
        <f>IF(C646="","",AVERAGE(C631:C646)*$N$5)</f>
        <v/>
      </c>
      <c r="J646">
        <f>IF(C646="","",J645+$N$6*(C646*$N$5-J645))</f>
        <v/>
      </c>
      <c r="K646">
        <f>IF(B646="","",B646-B645)</f>
        <v/>
      </c>
    </row>
    <row r="647">
      <c r="G647">
        <f>IF(C647="","",C647*$N$5)</f>
        <v/>
      </c>
      <c r="H647">
        <f>IF(C647="","",AVERAGE(C644:C647)*$N$5)</f>
        <v/>
      </c>
      <c r="I647">
        <f>IF(C647="","",AVERAGE(C632:C647)*$N$5)</f>
        <v/>
      </c>
      <c r="J647">
        <f>IF(C647="","",J646+$N$6*(C647*$N$5-J646))</f>
        <v/>
      </c>
      <c r="K647">
        <f>IF(B647="","",B647-B646)</f>
        <v/>
      </c>
    </row>
    <row r="648">
      <c r="G648">
        <f>IF(C648="","",C648*$N$5)</f>
        <v/>
      </c>
      <c r="H648">
        <f>IF(C648="","",AVERAGE(C645:C648)*$N$5)</f>
        <v/>
      </c>
      <c r="I648">
        <f>IF(C648="","",AVERAGE(C633:C648)*$N$5)</f>
        <v/>
      </c>
      <c r="J648">
        <f>IF(C648="","",J647+$N$6*(C648*$N$5-J647))</f>
        <v/>
      </c>
      <c r="K648">
        <f>IF(B648="","",B648-B647)</f>
        <v/>
      </c>
    </row>
    <row r="649">
      <c r="G649">
        <f>IF(C649="","",C649*$N$5)</f>
        <v/>
      </c>
      <c r="H649">
        <f>IF(C649="","",AVERAGE(C646:C649)*$N$5)</f>
        <v/>
      </c>
      <c r="I649">
        <f>IF(C649="","",AVERAGE(C634:C649)*$N$5)</f>
        <v/>
      </c>
      <c r="J649">
        <f>IF(C649="","",J648+$N$6*(C649*$N$5-J648))</f>
        <v/>
      </c>
      <c r="K649">
        <f>IF(B649="","",B649-B648)</f>
        <v/>
      </c>
    </row>
    <row r="650">
      <c r="G650">
        <f>IF(C650="","",C650*$N$5)</f>
        <v/>
      </c>
      <c r="H650">
        <f>IF(C650="","",AVERAGE(C647:C650)*$N$5)</f>
        <v/>
      </c>
      <c r="I650">
        <f>IF(C650="","",AVERAGE(C635:C650)*$N$5)</f>
        <v/>
      </c>
      <c r="J650">
        <f>IF(C650="","",J649+$N$6*(C650*$N$5-J649))</f>
        <v/>
      </c>
      <c r="K650">
        <f>IF(B650="","",B650-B649)</f>
        <v/>
      </c>
    </row>
    <row r="651">
      <c r="G651">
        <f>IF(C651="","",C651*$N$5)</f>
        <v/>
      </c>
      <c r="H651">
        <f>IF(C651="","",AVERAGE(C648:C651)*$N$5)</f>
        <v/>
      </c>
      <c r="I651">
        <f>IF(C651="","",AVERAGE(C636:C651)*$N$5)</f>
        <v/>
      </c>
      <c r="J651">
        <f>IF(C651="","",J650+$N$6*(C651*$N$5-J650))</f>
        <v/>
      </c>
      <c r="K651">
        <f>IF(B651="","",B651-B650)</f>
        <v/>
      </c>
    </row>
    <row r="652">
      <c r="G652">
        <f>IF(C652="","",C652*$N$5)</f>
        <v/>
      </c>
      <c r="H652">
        <f>IF(C652="","",AVERAGE(C649:C652)*$N$5)</f>
        <v/>
      </c>
      <c r="I652">
        <f>IF(C652="","",AVERAGE(C637:C652)*$N$5)</f>
        <v/>
      </c>
      <c r="J652">
        <f>IF(C652="","",J651+$N$6*(C652*$N$5-J651))</f>
        <v/>
      </c>
      <c r="K652">
        <f>IF(B652="","",B652-B651)</f>
        <v/>
      </c>
    </row>
    <row r="653">
      <c r="G653">
        <f>IF(C653="","",C653*$N$5)</f>
        <v/>
      </c>
      <c r="H653">
        <f>IF(C653="","",AVERAGE(C650:C653)*$N$5)</f>
        <v/>
      </c>
      <c r="I653">
        <f>IF(C653="","",AVERAGE(C638:C653)*$N$5)</f>
        <v/>
      </c>
      <c r="J653">
        <f>IF(C653="","",J652+$N$6*(C653*$N$5-J652))</f>
        <v/>
      </c>
      <c r="K653">
        <f>IF(B653="","",B653-B652)</f>
        <v/>
      </c>
    </row>
    <row r="654">
      <c r="G654">
        <f>IF(C654="","",C654*$N$5)</f>
        <v/>
      </c>
      <c r="H654">
        <f>IF(C654="","",AVERAGE(C651:C654)*$N$5)</f>
        <v/>
      </c>
      <c r="I654">
        <f>IF(C654="","",AVERAGE(C639:C654)*$N$5)</f>
        <v/>
      </c>
      <c r="J654">
        <f>IF(C654="","",J653+$N$6*(C654*$N$5-J653))</f>
        <v/>
      </c>
      <c r="K654">
        <f>IF(B654="","",B654-B653)</f>
        <v/>
      </c>
    </row>
    <row r="655">
      <c r="G655">
        <f>IF(C655="","",C655*$N$5)</f>
        <v/>
      </c>
      <c r="H655">
        <f>IF(C655="","",AVERAGE(C652:C655)*$N$5)</f>
        <v/>
      </c>
      <c r="I655">
        <f>IF(C655="","",AVERAGE(C640:C655)*$N$5)</f>
        <v/>
      </c>
      <c r="J655">
        <f>IF(C655="","",J654+$N$6*(C655*$N$5-J654))</f>
        <v/>
      </c>
      <c r="K655">
        <f>IF(B655="","",B655-B654)</f>
        <v/>
      </c>
    </row>
    <row r="656">
      <c r="G656">
        <f>IF(C656="","",C656*$N$5)</f>
        <v/>
      </c>
      <c r="H656">
        <f>IF(C656="","",AVERAGE(C653:C656)*$N$5)</f>
        <v/>
      </c>
      <c r="I656">
        <f>IF(C656="","",AVERAGE(C641:C656)*$N$5)</f>
        <v/>
      </c>
      <c r="J656">
        <f>IF(C656="","",J655+$N$6*(C656*$N$5-J655))</f>
        <v/>
      </c>
      <c r="K656">
        <f>IF(B656="","",B656-B655)</f>
        <v/>
      </c>
    </row>
    <row r="657">
      <c r="G657">
        <f>IF(C657="","",C657*$N$5)</f>
        <v/>
      </c>
      <c r="H657">
        <f>IF(C657="","",AVERAGE(C654:C657)*$N$5)</f>
        <v/>
      </c>
      <c r="I657">
        <f>IF(C657="","",AVERAGE(C642:C657)*$N$5)</f>
        <v/>
      </c>
      <c r="J657">
        <f>IF(C657="","",J656+$N$6*(C657*$N$5-J656))</f>
        <v/>
      </c>
      <c r="K657">
        <f>IF(B657="","",B657-B656)</f>
        <v/>
      </c>
    </row>
    <row r="658">
      <c r="G658">
        <f>IF(C658="","",C658*$N$5)</f>
        <v/>
      </c>
      <c r="H658">
        <f>IF(C658="","",AVERAGE(C655:C658)*$N$5)</f>
        <v/>
      </c>
      <c r="I658">
        <f>IF(C658="","",AVERAGE(C643:C658)*$N$5)</f>
        <v/>
      </c>
      <c r="J658">
        <f>IF(C658="","",J657+$N$6*(C658*$N$5-J657))</f>
        <v/>
      </c>
      <c r="K658">
        <f>IF(B658="","",B658-B657)</f>
        <v/>
      </c>
    </row>
    <row r="659">
      <c r="G659">
        <f>IF(C659="","",C659*$N$5)</f>
        <v/>
      </c>
      <c r="H659">
        <f>IF(C659="","",AVERAGE(C656:C659)*$N$5)</f>
        <v/>
      </c>
      <c r="I659">
        <f>IF(C659="","",AVERAGE(C644:C659)*$N$5)</f>
        <v/>
      </c>
      <c r="J659">
        <f>IF(C659="","",J658+$N$6*(C659*$N$5-J658))</f>
        <v/>
      </c>
      <c r="K659">
        <f>IF(B659="","",B659-B658)</f>
        <v/>
      </c>
    </row>
    <row r="660">
      <c r="G660">
        <f>IF(C660="","",C660*$N$5)</f>
        <v/>
      </c>
      <c r="H660">
        <f>IF(C660="","",AVERAGE(C657:C660)*$N$5)</f>
        <v/>
      </c>
      <c r="I660">
        <f>IF(C660="","",AVERAGE(C645:C660)*$N$5)</f>
        <v/>
      </c>
      <c r="J660">
        <f>IF(C660="","",J659+$N$6*(C660*$N$5-J659))</f>
        <v/>
      </c>
      <c r="K660">
        <f>IF(B660="","",B660-B659)</f>
        <v/>
      </c>
    </row>
    <row r="661">
      <c r="G661">
        <f>IF(C661="","",C661*$N$5)</f>
        <v/>
      </c>
      <c r="H661">
        <f>IF(C661="","",AVERAGE(C658:C661)*$N$5)</f>
        <v/>
      </c>
      <c r="I661">
        <f>IF(C661="","",AVERAGE(C646:C661)*$N$5)</f>
        <v/>
      </c>
      <c r="J661">
        <f>IF(C661="","",J660+$N$6*(C661*$N$5-J660))</f>
        <v/>
      </c>
      <c r="K661">
        <f>IF(B661="","",B661-B660)</f>
        <v/>
      </c>
    </row>
    <row r="662">
      <c r="G662">
        <f>IF(C662="","",C662*$N$5)</f>
        <v/>
      </c>
      <c r="H662">
        <f>IF(C662="","",AVERAGE(C659:C662)*$N$5)</f>
        <v/>
      </c>
      <c r="I662">
        <f>IF(C662="","",AVERAGE(C647:C662)*$N$5)</f>
        <v/>
      </c>
      <c r="J662">
        <f>IF(C662="","",J661+$N$6*(C662*$N$5-J661))</f>
        <v/>
      </c>
      <c r="K662">
        <f>IF(B662="","",B662-B661)</f>
        <v/>
      </c>
    </row>
    <row r="663">
      <c r="G663">
        <f>IF(C663="","",C663*$N$5)</f>
        <v/>
      </c>
      <c r="H663">
        <f>IF(C663="","",AVERAGE(C660:C663)*$N$5)</f>
        <v/>
      </c>
      <c r="I663">
        <f>IF(C663="","",AVERAGE(C648:C663)*$N$5)</f>
        <v/>
      </c>
      <c r="J663">
        <f>IF(C663="","",J662+$N$6*(C663*$N$5-J662))</f>
        <v/>
      </c>
      <c r="K663">
        <f>IF(B663="","",B663-B662)</f>
        <v/>
      </c>
    </row>
    <row r="664">
      <c r="G664">
        <f>IF(C664="","",C664*$N$5)</f>
        <v/>
      </c>
      <c r="H664">
        <f>IF(C664="","",AVERAGE(C661:C664)*$N$5)</f>
        <v/>
      </c>
      <c r="I664">
        <f>IF(C664="","",AVERAGE(C649:C664)*$N$5)</f>
        <v/>
      </c>
      <c r="J664">
        <f>IF(C664="","",J663+$N$6*(C664*$N$5-J663))</f>
        <v/>
      </c>
      <c r="K664">
        <f>IF(B664="","",B664-B663)</f>
        <v/>
      </c>
    </row>
    <row r="665">
      <c r="G665">
        <f>IF(C665="","",C665*$N$5)</f>
        <v/>
      </c>
      <c r="H665">
        <f>IF(C665="","",AVERAGE(C662:C665)*$N$5)</f>
        <v/>
      </c>
      <c r="I665">
        <f>IF(C665="","",AVERAGE(C650:C665)*$N$5)</f>
        <v/>
      </c>
      <c r="J665">
        <f>IF(C665="","",J664+$N$6*(C665*$N$5-J664))</f>
        <v/>
      </c>
      <c r="K665">
        <f>IF(B665="","",B665-B664)</f>
        <v/>
      </c>
    </row>
    <row r="666">
      <c r="G666">
        <f>IF(C666="","",C666*$N$5)</f>
        <v/>
      </c>
      <c r="H666">
        <f>IF(C666="","",AVERAGE(C663:C666)*$N$5)</f>
        <v/>
      </c>
      <c r="I666">
        <f>IF(C666="","",AVERAGE(C651:C666)*$N$5)</f>
        <v/>
      </c>
      <c r="J666">
        <f>IF(C666="","",J665+$N$6*(C666*$N$5-J665))</f>
        <v/>
      </c>
      <c r="K666">
        <f>IF(B666="","",B666-B665)</f>
        <v/>
      </c>
    </row>
    <row r="667">
      <c r="G667">
        <f>IF(C667="","",C667*$N$5)</f>
        <v/>
      </c>
      <c r="H667">
        <f>IF(C667="","",AVERAGE(C664:C667)*$N$5)</f>
        <v/>
      </c>
      <c r="I667">
        <f>IF(C667="","",AVERAGE(C652:C667)*$N$5)</f>
        <v/>
      </c>
      <c r="J667">
        <f>IF(C667="","",J666+$N$6*(C667*$N$5-J666))</f>
        <v/>
      </c>
      <c r="K667">
        <f>IF(B667="","",B667-B666)</f>
        <v/>
      </c>
    </row>
    <row r="668">
      <c r="G668">
        <f>IF(C668="","",C668*$N$5)</f>
        <v/>
      </c>
      <c r="H668">
        <f>IF(C668="","",AVERAGE(C665:C668)*$N$5)</f>
        <v/>
      </c>
      <c r="I668">
        <f>IF(C668="","",AVERAGE(C653:C668)*$N$5)</f>
        <v/>
      </c>
      <c r="J668">
        <f>IF(C668="","",J667+$N$6*(C668*$N$5-J667))</f>
        <v/>
      </c>
      <c r="K668">
        <f>IF(B668="","",B668-B667)</f>
        <v/>
      </c>
    </row>
    <row r="669">
      <c r="G669">
        <f>IF(C669="","",C669*$N$5)</f>
        <v/>
      </c>
      <c r="H669">
        <f>IF(C669="","",AVERAGE(C666:C669)*$N$5)</f>
        <v/>
      </c>
      <c r="I669">
        <f>IF(C669="","",AVERAGE(C654:C669)*$N$5)</f>
        <v/>
      </c>
      <c r="J669">
        <f>IF(C669="","",J668+$N$6*(C669*$N$5-J668))</f>
        <v/>
      </c>
      <c r="K669">
        <f>IF(B669="","",B669-B668)</f>
        <v/>
      </c>
    </row>
    <row r="670">
      <c r="G670">
        <f>IF(C670="","",C670*$N$5)</f>
        <v/>
      </c>
      <c r="H670">
        <f>IF(C670="","",AVERAGE(C667:C670)*$N$5)</f>
        <v/>
      </c>
      <c r="I670">
        <f>IF(C670="","",AVERAGE(C655:C670)*$N$5)</f>
        <v/>
      </c>
      <c r="J670">
        <f>IF(C670="","",J669+$N$6*(C670*$N$5-J669))</f>
        <v/>
      </c>
      <c r="K670">
        <f>IF(B670="","",B670-B669)</f>
        <v/>
      </c>
    </row>
    <row r="671">
      <c r="G671">
        <f>IF(C671="","",C671*$N$5)</f>
        <v/>
      </c>
      <c r="H671">
        <f>IF(C671="","",AVERAGE(C668:C671)*$N$5)</f>
        <v/>
      </c>
      <c r="I671">
        <f>IF(C671="","",AVERAGE(C656:C671)*$N$5)</f>
        <v/>
      </c>
      <c r="J671">
        <f>IF(C671="","",J670+$N$6*(C671*$N$5-J670))</f>
        <v/>
      </c>
      <c r="K671">
        <f>IF(B671="","",B671-B670)</f>
        <v/>
      </c>
    </row>
    <row r="672">
      <c r="G672">
        <f>IF(C672="","",C672*$N$5)</f>
        <v/>
      </c>
      <c r="H672">
        <f>IF(C672="","",AVERAGE(C669:C672)*$N$5)</f>
        <v/>
      </c>
      <c r="I672">
        <f>IF(C672="","",AVERAGE(C657:C672)*$N$5)</f>
        <v/>
      </c>
      <c r="J672">
        <f>IF(C672="","",J671+$N$6*(C672*$N$5-J671))</f>
        <v/>
      </c>
      <c r="K672">
        <f>IF(B672="","",B672-B671)</f>
        <v/>
      </c>
    </row>
    <row r="673">
      <c r="G673">
        <f>IF(C673="","",C673*$N$5)</f>
        <v/>
      </c>
      <c r="H673">
        <f>IF(C673="","",AVERAGE(C670:C673)*$N$5)</f>
        <v/>
      </c>
      <c r="I673">
        <f>IF(C673="","",AVERAGE(C658:C673)*$N$5)</f>
        <v/>
      </c>
      <c r="J673">
        <f>IF(C673="","",J672+$N$6*(C673*$N$5-J672))</f>
        <v/>
      </c>
      <c r="K673">
        <f>IF(B673="","",B673-B672)</f>
        <v/>
      </c>
    </row>
    <row r="674">
      <c r="G674">
        <f>IF(C674="","",C674*$N$5)</f>
        <v/>
      </c>
      <c r="H674">
        <f>IF(C674="","",AVERAGE(C671:C674)*$N$5)</f>
        <v/>
      </c>
      <c r="I674">
        <f>IF(C674="","",AVERAGE(C659:C674)*$N$5)</f>
        <v/>
      </c>
      <c r="J674">
        <f>IF(C674="","",J673+$N$6*(C674*$N$5-J673))</f>
        <v/>
      </c>
      <c r="K674">
        <f>IF(B674="","",B674-B673)</f>
        <v/>
      </c>
    </row>
    <row r="675">
      <c r="G675">
        <f>IF(C675="","",C675*$N$5)</f>
        <v/>
      </c>
      <c r="H675">
        <f>IF(C675="","",AVERAGE(C672:C675)*$N$5)</f>
        <v/>
      </c>
      <c r="I675">
        <f>IF(C675="","",AVERAGE(C660:C675)*$N$5)</f>
        <v/>
      </c>
      <c r="J675">
        <f>IF(C675="","",J674+$N$6*(C675*$N$5-J674))</f>
        <v/>
      </c>
      <c r="K675">
        <f>IF(B675="","",B675-B674)</f>
        <v/>
      </c>
    </row>
    <row r="676">
      <c r="G676">
        <f>IF(C676="","",C676*$N$5)</f>
        <v/>
      </c>
      <c r="H676">
        <f>IF(C676="","",AVERAGE(C673:C676)*$N$5)</f>
        <v/>
      </c>
      <c r="I676">
        <f>IF(C676="","",AVERAGE(C661:C676)*$N$5)</f>
        <v/>
      </c>
      <c r="J676">
        <f>IF(C676="","",J675+$N$6*(C676*$N$5-J675))</f>
        <v/>
      </c>
      <c r="K676">
        <f>IF(B676="","",B676-B675)</f>
        <v/>
      </c>
    </row>
    <row r="677">
      <c r="G677">
        <f>IF(C677="","",C677*$N$5)</f>
        <v/>
      </c>
      <c r="H677">
        <f>IF(C677="","",AVERAGE(C674:C677)*$N$5)</f>
        <v/>
      </c>
      <c r="I677">
        <f>IF(C677="","",AVERAGE(C662:C677)*$N$5)</f>
        <v/>
      </c>
      <c r="J677">
        <f>IF(C677="","",J676+$N$6*(C677*$N$5-J676))</f>
        <v/>
      </c>
      <c r="K677">
        <f>IF(B677="","",B677-B676)</f>
        <v/>
      </c>
    </row>
    <row r="678">
      <c r="G678">
        <f>IF(C678="","",C678*$N$5)</f>
        <v/>
      </c>
      <c r="H678">
        <f>IF(C678="","",AVERAGE(C675:C678)*$N$5)</f>
        <v/>
      </c>
      <c r="I678">
        <f>IF(C678="","",AVERAGE(C663:C678)*$N$5)</f>
        <v/>
      </c>
      <c r="J678">
        <f>IF(C678="","",J677+$N$6*(C678*$N$5-J677))</f>
        <v/>
      </c>
      <c r="K678">
        <f>IF(B678="","",B678-B677)</f>
        <v/>
      </c>
    </row>
    <row r="679">
      <c r="G679">
        <f>IF(C679="","",C679*$N$5)</f>
        <v/>
      </c>
      <c r="H679">
        <f>IF(C679="","",AVERAGE(C676:C679)*$N$5)</f>
        <v/>
      </c>
      <c r="I679">
        <f>IF(C679="","",AVERAGE(C664:C679)*$N$5)</f>
        <v/>
      </c>
      <c r="J679">
        <f>IF(C679="","",J678+$N$6*(C679*$N$5-J678))</f>
        <v/>
      </c>
      <c r="K679">
        <f>IF(B679="","",B679-B678)</f>
        <v/>
      </c>
    </row>
    <row r="680">
      <c r="G680">
        <f>IF(C680="","",C680*$N$5)</f>
        <v/>
      </c>
      <c r="H680">
        <f>IF(C680="","",AVERAGE(C677:C680)*$N$5)</f>
        <v/>
      </c>
      <c r="I680">
        <f>IF(C680="","",AVERAGE(C665:C680)*$N$5)</f>
        <v/>
      </c>
      <c r="J680">
        <f>IF(C680="","",J679+$N$6*(C680*$N$5-J679))</f>
        <v/>
      </c>
      <c r="K680">
        <f>IF(B680="","",B680-B679)</f>
        <v/>
      </c>
    </row>
    <row r="681">
      <c r="G681">
        <f>IF(C681="","",C681*$N$5)</f>
        <v/>
      </c>
      <c r="H681">
        <f>IF(C681="","",AVERAGE(C678:C681)*$N$5)</f>
        <v/>
      </c>
      <c r="I681">
        <f>IF(C681="","",AVERAGE(C666:C681)*$N$5)</f>
        <v/>
      </c>
      <c r="J681">
        <f>IF(C681="","",J680+$N$6*(C681*$N$5-J680))</f>
        <v/>
      </c>
      <c r="K681">
        <f>IF(B681="","",B681-B680)</f>
        <v/>
      </c>
    </row>
    <row r="682">
      <c r="G682">
        <f>IF(C682="","",C682*$N$5)</f>
        <v/>
      </c>
      <c r="H682">
        <f>IF(C682="","",AVERAGE(C679:C682)*$N$5)</f>
        <v/>
      </c>
      <c r="I682">
        <f>IF(C682="","",AVERAGE(C667:C682)*$N$5)</f>
        <v/>
      </c>
      <c r="J682">
        <f>IF(C682="","",J681+$N$6*(C682*$N$5-J681))</f>
        <v/>
      </c>
      <c r="K682">
        <f>IF(B682="","",B682-B681)</f>
        <v/>
      </c>
    </row>
    <row r="683">
      <c r="G683">
        <f>IF(C683="","",C683*$N$5)</f>
        <v/>
      </c>
      <c r="H683">
        <f>IF(C683="","",AVERAGE(C680:C683)*$N$5)</f>
        <v/>
      </c>
      <c r="I683">
        <f>IF(C683="","",AVERAGE(C668:C683)*$N$5)</f>
        <v/>
      </c>
      <c r="J683">
        <f>IF(C683="","",J682+$N$6*(C683*$N$5-J682))</f>
        <v/>
      </c>
      <c r="K683">
        <f>IF(B683="","",B683-B682)</f>
        <v/>
      </c>
    </row>
    <row r="684">
      <c r="G684">
        <f>IF(C684="","",C684*$N$5)</f>
        <v/>
      </c>
      <c r="H684">
        <f>IF(C684="","",AVERAGE(C681:C684)*$N$5)</f>
        <v/>
      </c>
      <c r="I684">
        <f>IF(C684="","",AVERAGE(C669:C684)*$N$5)</f>
        <v/>
      </c>
      <c r="J684">
        <f>IF(C684="","",J683+$N$6*(C684*$N$5-J683))</f>
        <v/>
      </c>
      <c r="K684">
        <f>IF(B684="","",B684-B683)</f>
        <v/>
      </c>
    </row>
    <row r="685">
      <c r="G685">
        <f>IF(C685="","",C685*$N$5)</f>
        <v/>
      </c>
      <c r="H685">
        <f>IF(C685="","",AVERAGE(C682:C685)*$N$5)</f>
        <v/>
      </c>
      <c r="I685">
        <f>IF(C685="","",AVERAGE(C670:C685)*$N$5)</f>
        <v/>
      </c>
      <c r="J685">
        <f>IF(C685="","",J684+$N$6*(C685*$N$5-J684))</f>
        <v/>
      </c>
      <c r="K685">
        <f>IF(B685="","",B685-B684)</f>
        <v/>
      </c>
    </row>
    <row r="686">
      <c r="G686">
        <f>IF(C686="","",C686*$N$5)</f>
        <v/>
      </c>
      <c r="H686">
        <f>IF(C686="","",AVERAGE(C683:C686)*$N$5)</f>
        <v/>
      </c>
      <c r="I686">
        <f>IF(C686="","",AVERAGE(C671:C686)*$N$5)</f>
        <v/>
      </c>
      <c r="J686">
        <f>IF(C686="","",J685+$N$6*(C686*$N$5-J685))</f>
        <v/>
      </c>
      <c r="K686">
        <f>IF(B686="","",B686-B685)</f>
        <v/>
      </c>
    </row>
    <row r="687">
      <c r="G687">
        <f>IF(C687="","",C687*$N$5)</f>
        <v/>
      </c>
      <c r="H687">
        <f>IF(C687="","",AVERAGE(C684:C687)*$N$5)</f>
        <v/>
      </c>
      <c r="I687">
        <f>IF(C687="","",AVERAGE(C672:C687)*$N$5)</f>
        <v/>
      </c>
      <c r="J687">
        <f>IF(C687="","",J686+$N$6*(C687*$N$5-J686))</f>
        <v/>
      </c>
      <c r="K687">
        <f>IF(B687="","",B687-B686)</f>
        <v/>
      </c>
    </row>
    <row r="688">
      <c r="G688">
        <f>IF(C688="","",C688*$N$5)</f>
        <v/>
      </c>
      <c r="H688">
        <f>IF(C688="","",AVERAGE(C685:C688)*$N$5)</f>
        <v/>
      </c>
      <c r="I688">
        <f>IF(C688="","",AVERAGE(C673:C688)*$N$5)</f>
        <v/>
      </c>
      <c r="J688">
        <f>IF(C688="","",J687+$N$6*(C688*$N$5-J687))</f>
        <v/>
      </c>
      <c r="K688">
        <f>IF(B688="","",B688-B687)</f>
        <v/>
      </c>
    </row>
    <row r="689">
      <c r="G689">
        <f>IF(C689="","",C689*$N$5)</f>
        <v/>
      </c>
      <c r="H689">
        <f>IF(C689="","",AVERAGE(C686:C689)*$N$5)</f>
        <v/>
      </c>
      <c r="I689">
        <f>IF(C689="","",AVERAGE(C674:C689)*$N$5)</f>
        <v/>
      </c>
      <c r="J689">
        <f>IF(C689="","",J688+$N$6*(C689*$N$5-J688))</f>
        <v/>
      </c>
      <c r="K689">
        <f>IF(B689="","",B689-B688)</f>
        <v/>
      </c>
    </row>
    <row r="690">
      <c r="G690">
        <f>IF(C690="","",C690*$N$5)</f>
        <v/>
      </c>
      <c r="H690">
        <f>IF(C690="","",AVERAGE(C687:C690)*$N$5)</f>
        <v/>
      </c>
      <c r="I690">
        <f>IF(C690="","",AVERAGE(C675:C690)*$N$5)</f>
        <v/>
      </c>
      <c r="J690">
        <f>IF(C690="","",J689+$N$6*(C690*$N$5-J689))</f>
        <v/>
      </c>
      <c r="K690">
        <f>IF(B690="","",B690-B689)</f>
        <v/>
      </c>
    </row>
    <row r="691">
      <c r="G691">
        <f>IF(C691="","",C691*$N$5)</f>
        <v/>
      </c>
      <c r="H691">
        <f>IF(C691="","",AVERAGE(C688:C691)*$N$5)</f>
        <v/>
      </c>
      <c r="I691">
        <f>IF(C691="","",AVERAGE(C676:C691)*$N$5)</f>
        <v/>
      </c>
      <c r="J691">
        <f>IF(C691="","",J690+$N$6*(C691*$N$5-J690))</f>
        <v/>
      </c>
      <c r="K691">
        <f>IF(B691="","",B691-B690)</f>
        <v/>
      </c>
    </row>
    <row r="692">
      <c r="G692">
        <f>IF(C692="","",C692*$N$5)</f>
        <v/>
      </c>
      <c r="H692">
        <f>IF(C692="","",AVERAGE(C689:C692)*$N$5)</f>
        <v/>
      </c>
      <c r="I692">
        <f>IF(C692="","",AVERAGE(C677:C692)*$N$5)</f>
        <v/>
      </c>
      <c r="J692">
        <f>IF(C692="","",J691+$N$6*(C692*$N$5-J691))</f>
        <v/>
      </c>
      <c r="K692">
        <f>IF(B692="","",B692-B691)</f>
        <v/>
      </c>
    </row>
    <row r="693">
      <c r="G693">
        <f>IF(C693="","",C693*$N$5)</f>
        <v/>
      </c>
      <c r="H693">
        <f>IF(C693="","",AVERAGE(C690:C693)*$N$5)</f>
        <v/>
      </c>
      <c r="I693">
        <f>IF(C693="","",AVERAGE(C678:C693)*$N$5)</f>
        <v/>
      </c>
      <c r="J693">
        <f>IF(C693="","",J692+$N$6*(C693*$N$5-J692))</f>
        <v/>
      </c>
      <c r="K693">
        <f>IF(B693="","",B693-B692)</f>
        <v/>
      </c>
    </row>
    <row r="694">
      <c r="G694">
        <f>IF(C694="","",C694*$N$5)</f>
        <v/>
      </c>
      <c r="H694">
        <f>IF(C694="","",AVERAGE(C691:C694)*$N$5)</f>
        <v/>
      </c>
      <c r="I694">
        <f>IF(C694="","",AVERAGE(C679:C694)*$N$5)</f>
        <v/>
      </c>
      <c r="J694">
        <f>IF(C694="","",J693+$N$6*(C694*$N$5-J693))</f>
        <v/>
      </c>
      <c r="K694">
        <f>IF(B694="","",B694-B693)</f>
        <v/>
      </c>
    </row>
    <row r="695">
      <c r="G695">
        <f>IF(C695="","",C695*$N$5)</f>
        <v/>
      </c>
      <c r="H695">
        <f>IF(C695="","",AVERAGE(C692:C695)*$N$5)</f>
        <v/>
      </c>
      <c r="I695">
        <f>IF(C695="","",AVERAGE(C680:C695)*$N$5)</f>
        <v/>
      </c>
      <c r="J695">
        <f>IF(C695="","",J694+$N$6*(C695*$N$5-J694))</f>
        <v/>
      </c>
      <c r="K695">
        <f>IF(B695="","",B695-B694)</f>
        <v/>
      </c>
    </row>
    <row r="696">
      <c r="G696">
        <f>IF(C696="","",C696*$N$5)</f>
        <v/>
      </c>
      <c r="H696">
        <f>IF(C696="","",AVERAGE(C693:C696)*$N$5)</f>
        <v/>
      </c>
      <c r="I696">
        <f>IF(C696="","",AVERAGE(C681:C696)*$N$5)</f>
        <v/>
      </c>
      <c r="J696">
        <f>IF(C696="","",J695+$N$6*(C696*$N$5-J695))</f>
        <v/>
      </c>
      <c r="K696">
        <f>IF(B696="","",B696-B695)</f>
        <v/>
      </c>
    </row>
    <row r="697">
      <c r="G697">
        <f>IF(C697="","",C697*$N$5)</f>
        <v/>
      </c>
      <c r="H697">
        <f>IF(C697="","",AVERAGE(C694:C697)*$N$5)</f>
        <v/>
      </c>
      <c r="I697">
        <f>IF(C697="","",AVERAGE(C682:C697)*$N$5)</f>
        <v/>
      </c>
      <c r="J697">
        <f>IF(C697="","",J696+$N$6*(C697*$N$5-J696))</f>
        <v/>
      </c>
      <c r="K697">
        <f>IF(B697="","",B697-B696)</f>
        <v/>
      </c>
    </row>
    <row r="698">
      <c r="G698">
        <f>IF(C698="","",C698*$N$5)</f>
        <v/>
      </c>
      <c r="H698">
        <f>IF(C698="","",AVERAGE(C695:C698)*$N$5)</f>
        <v/>
      </c>
      <c r="I698">
        <f>IF(C698="","",AVERAGE(C683:C698)*$N$5)</f>
        <v/>
      </c>
      <c r="J698">
        <f>IF(C698="","",J697+$N$6*(C698*$N$5-J697))</f>
        <v/>
      </c>
      <c r="K698">
        <f>IF(B698="","",B698-B697)</f>
        <v/>
      </c>
    </row>
    <row r="699">
      <c r="G699">
        <f>IF(C699="","",C699*$N$5)</f>
        <v/>
      </c>
      <c r="H699">
        <f>IF(C699="","",AVERAGE(C696:C699)*$N$5)</f>
        <v/>
      </c>
      <c r="I699">
        <f>IF(C699="","",AVERAGE(C684:C699)*$N$5)</f>
        <v/>
      </c>
      <c r="J699">
        <f>IF(C699="","",J698+$N$6*(C699*$N$5-J698))</f>
        <v/>
      </c>
      <c r="K699">
        <f>IF(B699="","",B699-B698)</f>
        <v/>
      </c>
    </row>
    <row r="700">
      <c r="G700">
        <f>IF(C700="","",C700*$N$5)</f>
        <v/>
      </c>
      <c r="H700">
        <f>IF(C700="","",AVERAGE(C697:C700)*$N$5)</f>
        <v/>
      </c>
      <c r="I700">
        <f>IF(C700="","",AVERAGE(C685:C700)*$N$5)</f>
        <v/>
      </c>
      <c r="J700">
        <f>IF(C700="","",J699+$N$6*(C700*$N$5-J699))</f>
        <v/>
      </c>
      <c r="K700">
        <f>IF(B700="","",B700-B699)</f>
        <v/>
      </c>
    </row>
    <row r="701">
      <c r="G701">
        <f>IF(C701="","",C701*$N$5)</f>
        <v/>
      </c>
      <c r="H701">
        <f>IF(C701="","",AVERAGE(C698:C701)*$N$5)</f>
        <v/>
      </c>
      <c r="I701">
        <f>IF(C701="","",AVERAGE(C686:C701)*$N$5)</f>
        <v/>
      </c>
      <c r="J701">
        <f>IF(C701="","",J700+$N$6*(C701*$N$5-J700))</f>
        <v/>
      </c>
      <c r="K701">
        <f>IF(B701="","",B701-B700)</f>
        <v/>
      </c>
    </row>
    <row r="702">
      <c r="G702">
        <f>IF(C702="","",C702*$N$5)</f>
        <v/>
      </c>
      <c r="H702">
        <f>IF(C702="","",AVERAGE(C699:C702)*$N$5)</f>
        <v/>
      </c>
      <c r="I702">
        <f>IF(C702="","",AVERAGE(C687:C702)*$N$5)</f>
        <v/>
      </c>
      <c r="J702">
        <f>IF(C702="","",J701+$N$6*(C702*$N$5-J701))</f>
        <v/>
      </c>
      <c r="K702">
        <f>IF(B702="","",B702-B701)</f>
        <v/>
      </c>
    </row>
    <row r="703">
      <c r="G703">
        <f>IF(C703="","",C703*$N$5)</f>
        <v/>
      </c>
      <c r="H703">
        <f>IF(C703="","",AVERAGE(C700:C703)*$N$5)</f>
        <v/>
      </c>
      <c r="I703">
        <f>IF(C703="","",AVERAGE(C688:C703)*$N$5)</f>
        <v/>
      </c>
      <c r="J703">
        <f>IF(C703="","",J702+$N$6*(C703*$N$5-J702))</f>
        <v/>
      </c>
      <c r="K703">
        <f>IF(B703="","",B703-B702)</f>
        <v/>
      </c>
    </row>
    <row r="704">
      <c r="G704">
        <f>IF(C704="","",C704*$N$5)</f>
        <v/>
      </c>
      <c r="H704">
        <f>IF(C704="","",AVERAGE(C701:C704)*$N$5)</f>
        <v/>
      </c>
      <c r="I704">
        <f>IF(C704="","",AVERAGE(C689:C704)*$N$5)</f>
        <v/>
      </c>
      <c r="J704">
        <f>IF(C704="","",J703+$N$6*(C704*$N$5-J703))</f>
        <v/>
      </c>
      <c r="K704">
        <f>IF(B704="","",B704-B703)</f>
        <v/>
      </c>
    </row>
    <row r="705">
      <c r="G705">
        <f>IF(C705="","",C705*$N$5)</f>
        <v/>
      </c>
      <c r="H705">
        <f>IF(C705="","",AVERAGE(C702:C705)*$N$5)</f>
        <v/>
      </c>
      <c r="I705">
        <f>IF(C705="","",AVERAGE(C690:C705)*$N$5)</f>
        <v/>
      </c>
      <c r="J705">
        <f>IF(C705="","",J704+$N$6*(C705*$N$5-J704))</f>
        <v/>
      </c>
      <c r="K705">
        <f>IF(B705="","",B705-B704)</f>
        <v/>
      </c>
    </row>
    <row r="706">
      <c r="G706">
        <f>IF(C706="","",C706*$N$5)</f>
        <v/>
      </c>
      <c r="H706">
        <f>IF(C706="","",AVERAGE(C703:C706)*$N$5)</f>
        <v/>
      </c>
      <c r="I706">
        <f>IF(C706="","",AVERAGE(C691:C706)*$N$5)</f>
        <v/>
      </c>
      <c r="J706">
        <f>IF(C706="","",J705+$N$6*(C706*$N$5-J705))</f>
        <v/>
      </c>
      <c r="K706">
        <f>IF(B706="","",B706-B705)</f>
        <v/>
      </c>
    </row>
    <row r="707">
      <c r="G707">
        <f>IF(C707="","",C707*$N$5)</f>
        <v/>
      </c>
      <c r="H707">
        <f>IF(C707="","",AVERAGE(C704:C707)*$N$5)</f>
        <v/>
      </c>
      <c r="I707">
        <f>IF(C707="","",AVERAGE(C692:C707)*$N$5)</f>
        <v/>
      </c>
      <c r="J707">
        <f>IF(C707="","",J706+$N$6*(C707*$N$5-J706))</f>
        <v/>
      </c>
      <c r="K707">
        <f>IF(B707="","",B707-B706)</f>
        <v/>
      </c>
    </row>
    <row r="708">
      <c r="G708">
        <f>IF(C708="","",C708*$N$5)</f>
        <v/>
      </c>
      <c r="H708">
        <f>IF(C708="","",AVERAGE(C705:C708)*$N$5)</f>
        <v/>
      </c>
      <c r="I708">
        <f>IF(C708="","",AVERAGE(C693:C708)*$N$5)</f>
        <v/>
      </c>
      <c r="J708">
        <f>IF(C708="","",J707+$N$6*(C708*$N$5-J707))</f>
        <v/>
      </c>
      <c r="K708">
        <f>IF(B708="","",B708-B707)</f>
        <v/>
      </c>
    </row>
    <row r="709">
      <c r="G709">
        <f>IF(C709="","",C709*$N$5)</f>
        <v/>
      </c>
      <c r="H709">
        <f>IF(C709="","",AVERAGE(C706:C709)*$N$5)</f>
        <v/>
      </c>
      <c r="I709">
        <f>IF(C709="","",AVERAGE(C694:C709)*$N$5)</f>
        <v/>
      </c>
      <c r="J709">
        <f>IF(C709="","",J708+$N$6*(C709*$N$5-J708))</f>
        <v/>
      </c>
      <c r="K709">
        <f>IF(B709="","",B709-B708)</f>
        <v/>
      </c>
    </row>
    <row r="710">
      <c r="G710">
        <f>IF(C710="","",C710*$N$5)</f>
        <v/>
      </c>
      <c r="H710">
        <f>IF(C710="","",AVERAGE(C707:C710)*$N$5)</f>
        <v/>
      </c>
      <c r="I710">
        <f>IF(C710="","",AVERAGE(C695:C710)*$N$5)</f>
        <v/>
      </c>
      <c r="J710">
        <f>IF(C710="","",J709+$N$6*(C710*$N$5-J709))</f>
        <v/>
      </c>
      <c r="K710">
        <f>IF(B710="","",B710-B709)</f>
        <v/>
      </c>
    </row>
    <row r="711">
      <c r="G711">
        <f>IF(C711="","",C711*$N$5)</f>
        <v/>
      </c>
      <c r="H711">
        <f>IF(C711="","",AVERAGE(C708:C711)*$N$5)</f>
        <v/>
      </c>
      <c r="I711">
        <f>IF(C711="","",AVERAGE(C696:C711)*$N$5)</f>
        <v/>
      </c>
      <c r="J711">
        <f>IF(C711="","",J710+$N$6*(C711*$N$5-J710))</f>
        <v/>
      </c>
      <c r="K711">
        <f>IF(B711="","",B711-B710)</f>
        <v/>
      </c>
    </row>
    <row r="712">
      <c r="G712">
        <f>IF(C712="","",C712*$N$5)</f>
        <v/>
      </c>
      <c r="H712">
        <f>IF(C712="","",AVERAGE(C709:C712)*$N$5)</f>
        <v/>
      </c>
      <c r="I712">
        <f>IF(C712="","",AVERAGE(C697:C712)*$N$5)</f>
        <v/>
      </c>
      <c r="J712">
        <f>IF(C712="","",J711+$N$6*(C712*$N$5-J711))</f>
        <v/>
      </c>
      <c r="K712">
        <f>IF(B712="","",B712-B711)</f>
        <v/>
      </c>
    </row>
    <row r="713">
      <c r="G713">
        <f>IF(C713="","",C713*$N$5)</f>
        <v/>
      </c>
      <c r="H713">
        <f>IF(C713="","",AVERAGE(C710:C713)*$N$5)</f>
        <v/>
      </c>
      <c r="I713">
        <f>IF(C713="","",AVERAGE(C698:C713)*$N$5)</f>
        <v/>
      </c>
      <c r="J713">
        <f>IF(C713="","",J712+$N$6*(C713*$N$5-J712))</f>
        <v/>
      </c>
      <c r="K713">
        <f>IF(B713="","",B713-B712)</f>
        <v/>
      </c>
    </row>
    <row r="714">
      <c r="G714">
        <f>IF(C714="","",C714*$N$5)</f>
        <v/>
      </c>
      <c r="H714">
        <f>IF(C714="","",AVERAGE(C711:C714)*$N$5)</f>
        <v/>
      </c>
      <c r="I714">
        <f>IF(C714="","",AVERAGE(C699:C714)*$N$5)</f>
        <v/>
      </c>
      <c r="J714">
        <f>IF(C714="","",J713+$N$6*(C714*$N$5-J713))</f>
        <v/>
      </c>
      <c r="K714">
        <f>IF(B714="","",B714-B713)</f>
        <v/>
      </c>
    </row>
    <row r="715">
      <c r="G715">
        <f>IF(C715="","",C715*$N$5)</f>
        <v/>
      </c>
      <c r="H715">
        <f>IF(C715="","",AVERAGE(C712:C715)*$N$5)</f>
        <v/>
      </c>
      <c r="I715">
        <f>IF(C715="","",AVERAGE(C700:C715)*$N$5)</f>
        <v/>
      </c>
      <c r="J715">
        <f>IF(C715="","",J714+$N$6*(C715*$N$5-J714))</f>
        <v/>
      </c>
      <c r="K715">
        <f>IF(B715="","",B715-B714)</f>
        <v/>
      </c>
    </row>
    <row r="716">
      <c r="G716">
        <f>IF(C716="","",C716*$N$5)</f>
        <v/>
      </c>
      <c r="H716">
        <f>IF(C716="","",AVERAGE(C713:C716)*$N$5)</f>
        <v/>
      </c>
      <c r="I716">
        <f>IF(C716="","",AVERAGE(C701:C716)*$N$5)</f>
        <v/>
      </c>
      <c r="J716">
        <f>IF(C716="","",J715+$N$6*(C716*$N$5-J715))</f>
        <v/>
      </c>
      <c r="K716">
        <f>IF(B716="","",B716-B715)</f>
        <v/>
      </c>
    </row>
    <row r="717">
      <c r="G717">
        <f>IF(C717="","",C717*$N$5)</f>
        <v/>
      </c>
      <c r="H717">
        <f>IF(C717="","",AVERAGE(C714:C717)*$N$5)</f>
        <v/>
      </c>
      <c r="I717">
        <f>IF(C717="","",AVERAGE(C702:C717)*$N$5)</f>
        <v/>
      </c>
      <c r="J717">
        <f>IF(C717="","",J716+$N$6*(C717*$N$5-J716))</f>
        <v/>
      </c>
      <c r="K717">
        <f>IF(B717="","",B717-B716)</f>
        <v/>
      </c>
    </row>
    <row r="718">
      <c r="G718">
        <f>IF(C718="","",C718*$N$5)</f>
        <v/>
      </c>
      <c r="H718">
        <f>IF(C718="","",AVERAGE(C715:C718)*$N$5)</f>
        <v/>
      </c>
      <c r="I718">
        <f>IF(C718="","",AVERAGE(C703:C718)*$N$5)</f>
        <v/>
      </c>
      <c r="J718">
        <f>IF(C718="","",J717+$N$6*(C718*$N$5-J717))</f>
        <v/>
      </c>
      <c r="K718">
        <f>IF(B718="","",B718-B717)</f>
        <v/>
      </c>
    </row>
    <row r="719">
      <c r="G719">
        <f>IF(C719="","",C719*$N$5)</f>
        <v/>
      </c>
      <c r="H719">
        <f>IF(C719="","",AVERAGE(C716:C719)*$N$5)</f>
        <v/>
      </c>
      <c r="I719">
        <f>IF(C719="","",AVERAGE(C704:C719)*$N$5)</f>
        <v/>
      </c>
      <c r="J719">
        <f>IF(C719="","",J718+$N$6*(C719*$N$5-J718))</f>
        <v/>
      </c>
      <c r="K719">
        <f>IF(B719="","",B719-B718)</f>
        <v/>
      </c>
    </row>
    <row r="720">
      <c r="G720">
        <f>IF(C720="","",C720*$N$5)</f>
        <v/>
      </c>
      <c r="H720">
        <f>IF(C720="","",AVERAGE(C717:C720)*$N$5)</f>
        <v/>
      </c>
      <c r="I720">
        <f>IF(C720="","",AVERAGE(C705:C720)*$N$5)</f>
        <v/>
      </c>
      <c r="J720">
        <f>IF(C720="","",J719+$N$6*(C720*$N$5-J719))</f>
        <v/>
      </c>
      <c r="K720">
        <f>IF(B720="","",B720-B719)</f>
        <v/>
      </c>
    </row>
    <row r="721">
      <c r="G721">
        <f>IF(C721="","",C721*$N$5)</f>
        <v/>
      </c>
      <c r="H721">
        <f>IF(C721="","",AVERAGE(C718:C721)*$N$5)</f>
        <v/>
      </c>
      <c r="I721">
        <f>IF(C721="","",AVERAGE(C706:C721)*$N$5)</f>
        <v/>
      </c>
      <c r="J721">
        <f>IF(C721="","",J720+$N$6*(C721*$N$5-J720))</f>
        <v/>
      </c>
      <c r="K721">
        <f>IF(B721="","",B721-B720)</f>
        <v/>
      </c>
    </row>
    <row r="722">
      <c r="G722">
        <f>IF(C722="","",C722*$N$5)</f>
        <v/>
      </c>
      <c r="H722">
        <f>IF(C722="","",AVERAGE(C719:C722)*$N$5)</f>
        <v/>
      </c>
      <c r="I722">
        <f>IF(C722="","",AVERAGE(C707:C722)*$N$5)</f>
        <v/>
      </c>
      <c r="J722">
        <f>IF(C722="","",J721+$N$6*(C722*$N$5-J721))</f>
        <v/>
      </c>
      <c r="K722">
        <f>IF(B722="","",B722-B721)</f>
        <v/>
      </c>
    </row>
    <row r="723">
      <c r="G723">
        <f>IF(C723="","",C723*$N$5)</f>
        <v/>
      </c>
      <c r="H723">
        <f>IF(C723="","",AVERAGE(C720:C723)*$N$5)</f>
        <v/>
      </c>
      <c r="I723">
        <f>IF(C723="","",AVERAGE(C708:C723)*$N$5)</f>
        <v/>
      </c>
      <c r="J723">
        <f>IF(C723="","",J722+$N$6*(C723*$N$5-J722))</f>
        <v/>
      </c>
      <c r="K723">
        <f>IF(B723="","",B723-B722)</f>
        <v/>
      </c>
    </row>
    <row r="724">
      <c r="G724">
        <f>IF(C724="","",C724*$N$5)</f>
        <v/>
      </c>
      <c r="H724">
        <f>IF(C724="","",AVERAGE(C721:C724)*$N$5)</f>
        <v/>
      </c>
      <c r="I724">
        <f>IF(C724="","",AVERAGE(C709:C724)*$N$5)</f>
        <v/>
      </c>
      <c r="J724">
        <f>IF(C724="","",J723+$N$6*(C724*$N$5-J723))</f>
        <v/>
      </c>
      <c r="K724">
        <f>IF(B724="","",B724-B723)</f>
        <v/>
      </c>
    </row>
    <row r="725">
      <c r="G725">
        <f>IF(C725="","",C725*$N$5)</f>
        <v/>
      </c>
      <c r="H725">
        <f>IF(C725="","",AVERAGE(C722:C725)*$N$5)</f>
        <v/>
      </c>
      <c r="I725">
        <f>IF(C725="","",AVERAGE(C710:C725)*$N$5)</f>
        <v/>
      </c>
      <c r="J725">
        <f>IF(C725="","",J724+$N$6*(C725*$N$5-J724))</f>
        <v/>
      </c>
      <c r="K725">
        <f>IF(B725="","",B725-B724)</f>
        <v/>
      </c>
    </row>
    <row r="726">
      <c r="G726">
        <f>IF(C726="","",C726*$N$5)</f>
        <v/>
      </c>
      <c r="H726">
        <f>IF(C726="","",AVERAGE(C723:C726)*$N$5)</f>
        <v/>
      </c>
      <c r="I726">
        <f>IF(C726="","",AVERAGE(C711:C726)*$N$5)</f>
        <v/>
      </c>
      <c r="J726">
        <f>IF(C726="","",J725+$N$6*(C726*$N$5-J725))</f>
        <v/>
      </c>
      <c r="K726">
        <f>IF(B726="","",B726-B725)</f>
        <v/>
      </c>
    </row>
    <row r="727">
      <c r="G727">
        <f>IF(C727="","",C727*$N$5)</f>
        <v/>
      </c>
      <c r="H727">
        <f>IF(C727="","",AVERAGE(C724:C727)*$N$5)</f>
        <v/>
      </c>
      <c r="I727">
        <f>IF(C727="","",AVERAGE(C712:C727)*$N$5)</f>
        <v/>
      </c>
      <c r="J727">
        <f>IF(C727="","",J726+$N$6*(C727*$N$5-J726))</f>
        <v/>
      </c>
      <c r="K727">
        <f>IF(B727="","",B727-B726)</f>
        <v/>
      </c>
    </row>
    <row r="728">
      <c r="G728">
        <f>IF(C728="","",C728*$N$5)</f>
        <v/>
      </c>
      <c r="H728">
        <f>IF(C728="","",AVERAGE(C725:C728)*$N$5)</f>
        <v/>
      </c>
      <c r="I728">
        <f>IF(C728="","",AVERAGE(C713:C728)*$N$5)</f>
        <v/>
      </c>
      <c r="J728">
        <f>IF(C728="","",J727+$N$6*(C728*$N$5-J727))</f>
        <v/>
      </c>
      <c r="K728">
        <f>IF(B728="","",B728-B727)</f>
        <v/>
      </c>
    </row>
    <row r="729">
      <c r="G729">
        <f>IF(C729="","",C729*$N$5)</f>
        <v/>
      </c>
      <c r="H729">
        <f>IF(C729="","",AVERAGE(C726:C729)*$N$5)</f>
        <v/>
      </c>
      <c r="I729">
        <f>IF(C729="","",AVERAGE(C714:C729)*$N$5)</f>
        <v/>
      </c>
      <c r="J729">
        <f>IF(C729="","",J728+$N$6*(C729*$N$5-J728))</f>
        <v/>
      </c>
      <c r="K729">
        <f>IF(B729="","",B729-B728)</f>
        <v/>
      </c>
    </row>
    <row r="730">
      <c r="G730">
        <f>IF(C730="","",C730*$N$5)</f>
        <v/>
      </c>
      <c r="H730">
        <f>IF(C730="","",AVERAGE(C727:C730)*$N$5)</f>
        <v/>
      </c>
      <c r="I730">
        <f>IF(C730="","",AVERAGE(C715:C730)*$N$5)</f>
        <v/>
      </c>
      <c r="J730">
        <f>IF(C730="","",J729+$N$6*(C730*$N$5-J729))</f>
        <v/>
      </c>
      <c r="K730">
        <f>IF(B730="","",B730-B729)</f>
        <v/>
      </c>
    </row>
    <row r="731">
      <c r="G731">
        <f>IF(C731="","",C731*$N$5)</f>
        <v/>
      </c>
      <c r="H731">
        <f>IF(C731="","",AVERAGE(C728:C731)*$N$5)</f>
        <v/>
      </c>
      <c r="I731">
        <f>IF(C731="","",AVERAGE(C716:C731)*$N$5)</f>
        <v/>
      </c>
      <c r="J731">
        <f>IF(C731="","",J730+$N$6*(C731*$N$5-J730))</f>
        <v/>
      </c>
      <c r="K731">
        <f>IF(B731="","",B731-B730)</f>
        <v/>
      </c>
    </row>
    <row r="732">
      <c r="G732">
        <f>IF(C732="","",C732*$N$5)</f>
        <v/>
      </c>
      <c r="H732">
        <f>IF(C732="","",AVERAGE(C729:C732)*$N$5)</f>
        <v/>
      </c>
      <c r="I732">
        <f>IF(C732="","",AVERAGE(C717:C732)*$N$5)</f>
        <v/>
      </c>
      <c r="J732">
        <f>IF(C732="","",J731+$N$6*(C732*$N$5-J731))</f>
        <v/>
      </c>
      <c r="K732">
        <f>IF(B732="","",B732-B731)</f>
        <v/>
      </c>
    </row>
    <row r="733">
      <c r="G733">
        <f>IF(C733="","",C733*$N$5)</f>
        <v/>
      </c>
      <c r="H733">
        <f>IF(C733="","",AVERAGE(C730:C733)*$N$5)</f>
        <v/>
      </c>
      <c r="I733">
        <f>IF(C733="","",AVERAGE(C718:C733)*$N$5)</f>
        <v/>
      </c>
      <c r="J733">
        <f>IF(C733="","",J732+$N$6*(C733*$N$5-J732))</f>
        <v/>
      </c>
      <c r="K733">
        <f>IF(B733="","",B733-B732)</f>
        <v/>
      </c>
    </row>
    <row r="734">
      <c r="G734">
        <f>IF(C734="","",C734*$N$5)</f>
        <v/>
      </c>
      <c r="H734">
        <f>IF(C734="","",AVERAGE(C731:C734)*$N$5)</f>
        <v/>
      </c>
      <c r="I734">
        <f>IF(C734="","",AVERAGE(C719:C734)*$N$5)</f>
        <v/>
      </c>
      <c r="J734">
        <f>IF(C734="","",J733+$N$6*(C734*$N$5-J733))</f>
        <v/>
      </c>
      <c r="K734">
        <f>IF(B734="","",B734-B733)</f>
        <v/>
      </c>
    </row>
    <row r="735">
      <c r="G735">
        <f>IF(C735="","",C735*$N$5)</f>
        <v/>
      </c>
      <c r="H735">
        <f>IF(C735="","",AVERAGE(C732:C735)*$N$5)</f>
        <v/>
      </c>
      <c r="I735">
        <f>IF(C735="","",AVERAGE(C720:C735)*$N$5)</f>
        <v/>
      </c>
      <c r="J735">
        <f>IF(C735="","",J734+$N$6*(C735*$N$5-J734))</f>
        <v/>
      </c>
      <c r="K735">
        <f>IF(B735="","",B735-B734)</f>
        <v/>
      </c>
    </row>
    <row r="736">
      <c r="G736">
        <f>IF(C736="","",C736*$N$5)</f>
        <v/>
      </c>
      <c r="H736">
        <f>IF(C736="","",AVERAGE(C733:C736)*$N$5)</f>
        <v/>
      </c>
      <c r="I736">
        <f>IF(C736="","",AVERAGE(C721:C736)*$N$5)</f>
        <v/>
      </c>
      <c r="J736">
        <f>IF(C736="","",J735+$N$6*(C736*$N$5-J735))</f>
        <v/>
      </c>
      <c r="K736">
        <f>IF(B736="","",B736-B735)</f>
        <v/>
      </c>
    </row>
    <row r="737">
      <c r="G737">
        <f>IF(C737="","",C737*$N$5)</f>
        <v/>
      </c>
      <c r="H737">
        <f>IF(C737="","",AVERAGE(C734:C737)*$N$5)</f>
        <v/>
      </c>
      <c r="I737">
        <f>IF(C737="","",AVERAGE(C722:C737)*$N$5)</f>
        <v/>
      </c>
      <c r="J737">
        <f>IF(C737="","",J736+$N$6*(C737*$N$5-J736))</f>
        <v/>
      </c>
      <c r="K737">
        <f>IF(B737="","",B737-B736)</f>
        <v/>
      </c>
    </row>
    <row r="738">
      <c r="G738">
        <f>IF(C738="","",C738*$N$5)</f>
        <v/>
      </c>
      <c r="H738">
        <f>IF(C738="","",AVERAGE(C735:C738)*$N$5)</f>
        <v/>
      </c>
      <c r="I738">
        <f>IF(C738="","",AVERAGE(C723:C738)*$N$5)</f>
        <v/>
      </c>
      <c r="J738">
        <f>IF(C738="","",J737+$N$6*(C738*$N$5-J737))</f>
        <v/>
      </c>
      <c r="K738">
        <f>IF(B738="","",B738-B737)</f>
        <v/>
      </c>
    </row>
    <row r="739">
      <c r="G739">
        <f>IF(C739="","",C739*$N$5)</f>
        <v/>
      </c>
      <c r="H739">
        <f>IF(C739="","",AVERAGE(C736:C739)*$N$5)</f>
        <v/>
      </c>
      <c r="I739">
        <f>IF(C739="","",AVERAGE(C724:C739)*$N$5)</f>
        <v/>
      </c>
      <c r="J739">
        <f>IF(C739="","",J738+$N$6*(C739*$N$5-J738))</f>
        <v/>
      </c>
      <c r="K739">
        <f>IF(B739="","",B739-B738)</f>
        <v/>
      </c>
    </row>
    <row r="740">
      <c r="G740">
        <f>IF(C740="","",C740*$N$5)</f>
        <v/>
      </c>
      <c r="H740">
        <f>IF(C740="","",AVERAGE(C737:C740)*$N$5)</f>
        <v/>
      </c>
      <c r="I740">
        <f>IF(C740="","",AVERAGE(C725:C740)*$N$5)</f>
        <v/>
      </c>
      <c r="J740">
        <f>IF(C740="","",J739+$N$6*(C740*$N$5-J739))</f>
        <v/>
      </c>
      <c r="K740">
        <f>IF(B740="","",B740-B739)</f>
        <v/>
      </c>
    </row>
    <row r="741">
      <c r="G741">
        <f>IF(C741="","",C741*$N$5)</f>
        <v/>
      </c>
      <c r="H741">
        <f>IF(C741="","",AVERAGE(C738:C741)*$N$5)</f>
        <v/>
      </c>
      <c r="I741">
        <f>IF(C741="","",AVERAGE(C726:C741)*$N$5)</f>
        <v/>
      </c>
      <c r="J741">
        <f>IF(C741="","",J740+$N$6*(C741*$N$5-J740))</f>
        <v/>
      </c>
      <c r="K741">
        <f>IF(B741="","",B741-B740)</f>
        <v/>
      </c>
    </row>
    <row r="742">
      <c r="G742">
        <f>IF(C742="","",C742*$N$5)</f>
        <v/>
      </c>
      <c r="H742">
        <f>IF(C742="","",AVERAGE(C739:C742)*$N$5)</f>
        <v/>
      </c>
      <c r="I742">
        <f>IF(C742="","",AVERAGE(C727:C742)*$N$5)</f>
        <v/>
      </c>
      <c r="J742">
        <f>IF(C742="","",J741+$N$6*(C742*$N$5-J741))</f>
        <v/>
      </c>
      <c r="K742">
        <f>IF(B742="","",B742-B741)</f>
        <v/>
      </c>
    </row>
    <row r="743">
      <c r="G743">
        <f>IF(C743="","",C743*$N$5)</f>
        <v/>
      </c>
      <c r="H743">
        <f>IF(C743="","",AVERAGE(C740:C743)*$N$5)</f>
        <v/>
      </c>
      <c r="I743">
        <f>IF(C743="","",AVERAGE(C728:C743)*$N$5)</f>
        <v/>
      </c>
      <c r="J743">
        <f>IF(C743="","",J742+$N$6*(C743*$N$5-J742))</f>
        <v/>
      </c>
      <c r="K743">
        <f>IF(B743="","",B743-B742)</f>
        <v/>
      </c>
    </row>
    <row r="744">
      <c r="G744">
        <f>IF(C744="","",C744*$N$5)</f>
        <v/>
      </c>
      <c r="H744">
        <f>IF(C744="","",AVERAGE(C741:C744)*$N$5)</f>
        <v/>
      </c>
      <c r="I744">
        <f>IF(C744="","",AVERAGE(C729:C744)*$N$5)</f>
        <v/>
      </c>
      <c r="J744">
        <f>IF(C744="","",J743+$N$6*(C744*$N$5-J743))</f>
        <v/>
      </c>
      <c r="K744">
        <f>IF(B744="","",B744-B743)</f>
        <v/>
      </c>
    </row>
    <row r="745">
      <c r="G745">
        <f>IF(C745="","",C745*$N$5)</f>
        <v/>
      </c>
      <c r="H745">
        <f>IF(C745="","",AVERAGE(C742:C745)*$N$5)</f>
        <v/>
      </c>
      <c r="I745">
        <f>IF(C745="","",AVERAGE(C730:C745)*$N$5)</f>
        <v/>
      </c>
      <c r="J745">
        <f>IF(C745="","",J744+$N$6*(C745*$N$5-J744))</f>
        <v/>
      </c>
      <c r="K745">
        <f>IF(B745="","",B745-B744)</f>
        <v/>
      </c>
    </row>
    <row r="746">
      <c r="G746">
        <f>IF(C746="","",C746*$N$5)</f>
        <v/>
      </c>
      <c r="H746">
        <f>IF(C746="","",AVERAGE(C743:C746)*$N$5)</f>
        <v/>
      </c>
      <c r="I746">
        <f>IF(C746="","",AVERAGE(C731:C746)*$N$5)</f>
        <v/>
      </c>
      <c r="J746">
        <f>IF(C746="","",J745+$N$6*(C746*$N$5-J745))</f>
        <v/>
      </c>
      <c r="K746">
        <f>IF(B746="","",B746-B745)</f>
        <v/>
      </c>
    </row>
    <row r="747">
      <c r="G747">
        <f>IF(C747="","",C747*$N$5)</f>
        <v/>
      </c>
      <c r="H747">
        <f>IF(C747="","",AVERAGE(C744:C747)*$N$5)</f>
        <v/>
      </c>
      <c r="I747">
        <f>IF(C747="","",AVERAGE(C732:C747)*$N$5)</f>
        <v/>
      </c>
      <c r="J747">
        <f>IF(C747="","",J746+$N$6*(C747*$N$5-J746))</f>
        <v/>
      </c>
      <c r="K747">
        <f>IF(B747="","",B747-B746)</f>
        <v/>
      </c>
    </row>
    <row r="748">
      <c r="G748">
        <f>IF(C748="","",C748*$N$5)</f>
        <v/>
      </c>
      <c r="H748">
        <f>IF(C748="","",AVERAGE(C745:C748)*$N$5)</f>
        <v/>
      </c>
      <c r="I748">
        <f>IF(C748="","",AVERAGE(C733:C748)*$N$5)</f>
        <v/>
      </c>
      <c r="J748">
        <f>IF(C748="","",J747+$N$6*(C748*$N$5-J747))</f>
        <v/>
      </c>
      <c r="K748">
        <f>IF(B748="","",B748-B747)</f>
        <v/>
      </c>
    </row>
    <row r="749">
      <c r="G749">
        <f>IF(C749="","",C749*$N$5)</f>
        <v/>
      </c>
      <c r="H749">
        <f>IF(C749="","",AVERAGE(C746:C749)*$N$5)</f>
        <v/>
      </c>
      <c r="I749">
        <f>IF(C749="","",AVERAGE(C734:C749)*$N$5)</f>
        <v/>
      </c>
      <c r="J749">
        <f>IF(C749="","",J748+$N$6*(C749*$N$5-J748))</f>
        <v/>
      </c>
      <c r="K749">
        <f>IF(B749="","",B749-B748)</f>
        <v/>
      </c>
    </row>
    <row r="750">
      <c r="G750">
        <f>IF(C750="","",C750*$N$5)</f>
        <v/>
      </c>
      <c r="H750">
        <f>IF(C750="","",AVERAGE(C747:C750)*$N$5)</f>
        <v/>
      </c>
      <c r="I750">
        <f>IF(C750="","",AVERAGE(C735:C750)*$N$5)</f>
        <v/>
      </c>
      <c r="J750">
        <f>IF(C750="","",J749+$N$6*(C750*$N$5-J749))</f>
        <v/>
      </c>
      <c r="K750">
        <f>IF(B750="","",B750-B749)</f>
        <v/>
      </c>
    </row>
    <row r="751">
      <c r="G751">
        <f>IF(C751="","",C751*$N$5)</f>
        <v/>
      </c>
      <c r="H751">
        <f>IF(C751="","",AVERAGE(C748:C751)*$N$5)</f>
        <v/>
      </c>
      <c r="I751">
        <f>IF(C751="","",AVERAGE(C736:C751)*$N$5)</f>
        <v/>
      </c>
      <c r="J751">
        <f>IF(C751="","",J750+$N$6*(C751*$N$5-J750))</f>
        <v/>
      </c>
      <c r="K751">
        <f>IF(B751="","",B751-B750)</f>
        <v/>
      </c>
    </row>
    <row r="752">
      <c r="G752">
        <f>IF(C752="","",C752*$N$5)</f>
        <v/>
      </c>
      <c r="H752">
        <f>IF(C752="","",AVERAGE(C749:C752)*$N$5)</f>
        <v/>
      </c>
      <c r="I752">
        <f>IF(C752="","",AVERAGE(C737:C752)*$N$5)</f>
        <v/>
      </c>
      <c r="J752">
        <f>IF(C752="","",J751+$N$6*(C752*$N$5-J751))</f>
        <v/>
      </c>
      <c r="K752">
        <f>IF(B752="","",B752-B751)</f>
        <v/>
      </c>
    </row>
    <row r="753">
      <c r="G753">
        <f>IF(C753="","",C753*$N$5)</f>
        <v/>
      </c>
      <c r="H753">
        <f>IF(C753="","",AVERAGE(C750:C753)*$N$5)</f>
        <v/>
      </c>
      <c r="I753">
        <f>IF(C753="","",AVERAGE(C738:C753)*$N$5)</f>
        <v/>
      </c>
      <c r="J753">
        <f>IF(C753="","",J752+$N$6*(C753*$N$5-J752))</f>
        <v/>
      </c>
      <c r="K753">
        <f>IF(B753="","",B753-B752)</f>
        <v/>
      </c>
    </row>
    <row r="754">
      <c r="G754">
        <f>IF(C754="","",C754*$N$5)</f>
        <v/>
      </c>
      <c r="H754">
        <f>IF(C754="","",AVERAGE(C751:C754)*$N$5)</f>
        <v/>
      </c>
      <c r="I754">
        <f>IF(C754="","",AVERAGE(C739:C754)*$N$5)</f>
        <v/>
      </c>
      <c r="J754">
        <f>IF(C754="","",J753+$N$6*(C754*$N$5-J753))</f>
        <v/>
      </c>
      <c r="K754">
        <f>IF(B754="","",B754-B753)</f>
        <v/>
      </c>
    </row>
    <row r="755">
      <c r="G755">
        <f>IF(C755="","",C755*$N$5)</f>
        <v/>
      </c>
      <c r="H755">
        <f>IF(C755="","",AVERAGE(C752:C755)*$N$5)</f>
        <v/>
      </c>
      <c r="I755">
        <f>IF(C755="","",AVERAGE(C740:C755)*$N$5)</f>
        <v/>
      </c>
      <c r="J755">
        <f>IF(C755="","",J754+$N$6*(C755*$N$5-J754))</f>
        <v/>
      </c>
      <c r="K755">
        <f>IF(B755="","",B755-B754)</f>
        <v/>
      </c>
    </row>
    <row r="756">
      <c r="G756">
        <f>IF(C756="","",C756*$N$5)</f>
        <v/>
      </c>
      <c r="H756">
        <f>IF(C756="","",AVERAGE(C753:C756)*$N$5)</f>
        <v/>
      </c>
      <c r="I756">
        <f>IF(C756="","",AVERAGE(C741:C756)*$N$5)</f>
        <v/>
      </c>
      <c r="J756">
        <f>IF(C756="","",J755+$N$6*(C756*$N$5-J755))</f>
        <v/>
      </c>
      <c r="K756">
        <f>IF(B756="","",B756-B755)</f>
        <v/>
      </c>
    </row>
    <row r="757">
      <c r="G757">
        <f>IF(C757="","",C757*$N$5)</f>
        <v/>
      </c>
      <c r="H757">
        <f>IF(C757="","",AVERAGE(C754:C757)*$N$5)</f>
        <v/>
      </c>
      <c r="I757">
        <f>IF(C757="","",AVERAGE(C742:C757)*$N$5)</f>
        <v/>
      </c>
      <c r="J757">
        <f>IF(C757="","",J756+$N$6*(C757*$N$5-J756))</f>
        <v/>
      </c>
      <c r="K757">
        <f>IF(B757="","",B757-B756)</f>
        <v/>
      </c>
    </row>
    <row r="758">
      <c r="G758">
        <f>IF(C758="","",C758*$N$5)</f>
        <v/>
      </c>
      <c r="H758">
        <f>IF(C758="","",AVERAGE(C755:C758)*$N$5)</f>
        <v/>
      </c>
      <c r="I758">
        <f>IF(C758="","",AVERAGE(C743:C758)*$N$5)</f>
        <v/>
      </c>
      <c r="J758">
        <f>IF(C758="","",J757+$N$6*(C758*$N$5-J757))</f>
        <v/>
      </c>
      <c r="K758">
        <f>IF(B758="","",B758-B757)</f>
        <v/>
      </c>
    </row>
    <row r="759">
      <c r="G759">
        <f>IF(C759="","",C759*$N$5)</f>
        <v/>
      </c>
      <c r="H759">
        <f>IF(C759="","",AVERAGE(C756:C759)*$N$5)</f>
        <v/>
      </c>
      <c r="I759">
        <f>IF(C759="","",AVERAGE(C744:C759)*$N$5)</f>
        <v/>
      </c>
      <c r="J759">
        <f>IF(C759="","",J758+$N$6*(C759*$N$5-J758))</f>
        <v/>
      </c>
      <c r="K759">
        <f>IF(B759="","",B759-B758)</f>
        <v/>
      </c>
    </row>
    <row r="760">
      <c r="G760">
        <f>IF(C760="","",C760*$N$5)</f>
        <v/>
      </c>
      <c r="H760">
        <f>IF(C760="","",AVERAGE(C757:C760)*$N$5)</f>
        <v/>
      </c>
      <c r="I760">
        <f>IF(C760="","",AVERAGE(C745:C760)*$N$5)</f>
        <v/>
      </c>
      <c r="J760">
        <f>IF(C760="","",J759+$N$6*(C760*$N$5-J759))</f>
        <v/>
      </c>
      <c r="K760">
        <f>IF(B760="","",B760-B759)</f>
        <v/>
      </c>
    </row>
    <row r="761">
      <c r="G761">
        <f>IF(C761="","",C761*$N$5)</f>
        <v/>
      </c>
      <c r="H761">
        <f>IF(C761="","",AVERAGE(C758:C761)*$N$5)</f>
        <v/>
      </c>
      <c r="I761">
        <f>IF(C761="","",AVERAGE(C746:C761)*$N$5)</f>
        <v/>
      </c>
      <c r="J761">
        <f>IF(C761="","",J760+$N$6*(C761*$N$5-J760))</f>
        <v/>
      </c>
      <c r="K761">
        <f>IF(B761="","",B761-B760)</f>
        <v/>
      </c>
    </row>
    <row r="762">
      <c r="G762">
        <f>IF(C762="","",C762*$N$5)</f>
        <v/>
      </c>
      <c r="H762">
        <f>IF(C762="","",AVERAGE(C759:C762)*$N$5)</f>
        <v/>
      </c>
      <c r="I762">
        <f>IF(C762="","",AVERAGE(C747:C762)*$N$5)</f>
        <v/>
      </c>
      <c r="J762">
        <f>IF(C762="","",J761+$N$6*(C762*$N$5-J761))</f>
        <v/>
      </c>
      <c r="K762">
        <f>IF(B762="","",B762-B761)</f>
        <v/>
      </c>
    </row>
    <row r="763">
      <c r="G763">
        <f>IF(C763="","",C763*$N$5)</f>
        <v/>
      </c>
      <c r="H763">
        <f>IF(C763="","",AVERAGE(C760:C763)*$N$5)</f>
        <v/>
      </c>
      <c r="I763">
        <f>IF(C763="","",AVERAGE(C748:C763)*$N$5)</f>
        <v/>
      </c>
      <c r="J763">
        <f>IF(C763="","",J762+$N$6*(C763*$N$5-J762))</f>
        <v/>
      </c>
      <c r="K763">
        <f>IF(B763="","",B763-B762)</f>
        <v/>
      </c>
    </row>
    <row r="764">
      <c r="G764">
        <f>IF(C764="","",C764*$N$5)</f>
        <v/>
      </c>
      <c r="H764">
        <f>IF(C764="","",AVERAGE(C761:C764)*$N$5)</f>
        <v/>
      </c>
      <c r="I764">
        <f>IF(C764="","",AVERAGE(C749:C764)*$N$5)</f>
        <v/>
      </c>
      <c r="J764">
        <f>IF(C764="","",J763+$N$6*(C764*$N$5-J763))</f>
        <v/>
      </c>
      <c r="K764">
        <f>IF(B764="","",B764-B763)</f>
        <v/>
      </c>
    </row>
    <row r="765">
      <c r="G765">
        <f>IF(C765="","",C765*$N$5)</f>
        <v/>
      </c>
      <c r="H765">
        <f>IF(C765="","",AVERAGE(C762:C765)*$N$5)</f>
        <v/>
      </c>
      <c r="I765">
        <f>IF(C765="","",AVERAGE(C750:C765)*$N$5)</f>
        <v/>
      </c>
      <c r="J765">
        <f>IF(C765="","",J764+$N$6*(C765*$N$5-J764))</f>
        <v/>
      </c>
      <c r="K765">
        <f>IF(B765="","",B765-B764)</f>
        <v/>
      </c>
    </row>
    <row r="766">
      <c r="G766">
        <f>IF(C766="","",C766*$N$5)</f>
        <v/>
      </c>
      <c r="H766">
        <f>IF(C766="","",AVERAGE(C763:C766)*$N$5)</f>
        <v/>
      </c>
      <c r="I766">
        <f>IF(C766="","",AVERAGE(C751:C766)*$N$5)</f>
        <v/>
      </c>
      <c r="J766">
        <f>IF(C766="","",J765+$N$6*(C766*$N$5-J765))</f>
        <v/>
      </c>
      <c r="K766">
        <f>IF(B766="","",B766-B765)</f>
        <v/>
      </c>
    </row>
    <row r="767">
      <c r="G767">
        <f>IF(C767="","",C767*$N$5)</f>
        <v/>
      </c>
      <c r="H767">
        <f>IF(C767="","",AVERAGE(C764:C767)*$N$5)</f>
        <v/>
      </c>
      <c r="I767">
        <f>IF(C767="","",AVERAGE(C752:C767)*$N$5)</f>
        <v/>
      </c>
      <c r="J767">
        <f>IF(C767="","",J766+$N$6*(C767*$N$5-J766))</f>
        <v/>
      </c>
      <c r="K767">
        <f>IF(B767="","",B767-B766)</f>
        <v/>
      </c>
    </row>
    <row r="768">
      <c r="G768">
        <f>IF(C768="","",C768*$N$5)</f>
        <v/>
      </c>
      <c r="H768">
        <f>IF(C768="","",AVERAGE(C765:C768)*$N$5)</f>
        <v/>
      </c>
      <c r="I768">
        <f>IF(C768="","",AVERAGE(C753:C768)*$N$5)</f>
        <v/>
      </c>
      <c r="J768">
        <f>IF(C768="","",J767+$N$6*(C768*$N$5-J767))</f>
        <v/>
      </c>
      <c r="K768">
        <f>IF(B768="","",B768-B767)</f>
        <v/>
      </c>
    </row>
    <row r="769">
      <c r="G769">
        <f>IF(C769="","",C769*$N$5)</f>
        <v/>
      </c>
      <c r="H769">
        <f>IF(C769="","",AVERAGE(C766:C769)*$N$5)</f>
        <v/>
      </c>
      <c r="I769">
        <f>IF(C769="","",AVERAGE(C754:C769)*$N$5)</f>
        <v/>
      </c>
      <c r="J769">
        <f>IF(C769="","",J768+$N$6*(C769*$N$5-J768))</f>
        <v/>
      </c>
      <c r="K769">
        <f>IF(B769="","",B769-B768)</f>
        <v/>
      </c>
    </row>
    <row r="770">
      <c r="G770">
        <f>IF(C770="","",C770*$N$5)</f>
        <v/>
      </c>
      <c r="H770">
        <f>IF(C770="","",AVERAGE(C767:C770)*$N$5)</f>
        <v/>
      </c>
      <c r="I770">
        <f>IF(C770="","",AVERAGE(C755:C770)*$N$5)</f>
        <v/>
      </c>
      <c r="J770">
        <f>IF(C770="","",J769+$N$6*(C770*$N$5-J769))</f>
        <v/>
      </c>
      <c r="K770">
        <f>IF(B770="","",B770-B769)</f>
        <v/>
      </c>
    </row>
    <row r="771">
      <c r="G771">
        <f>IF(C771="","",C771*$N$5)</f>
        <v/>
      </c>
      <c r="H771">
        <f>IF(C771="","",AVERAGE(C768:C771)*$N$5)</f>
        <v/>
      </c>
      <c r="I771">
        <f>IF(C771="","",AVERAGE(C756:C771)*$N$5)</f>
        <v/>
      </c>
      <c r="J771">
        <f>IF(C771="","",J770+$N$6*(C771*$N$5-J770))</f>
        <v/>
      </c>
      <c r="K771">
        <f>IF(B771="","",B771-B770)</f>
        <v/>
      </c>
    </row>
    <row r="772">
      <c r="G772">
        <f>IF(C772="","",C772*$N$5)</f>
        <v/>
      </c>
      <c r="H772">
        <f>IF(C772="","",AVERAGE(C769:C772)*$N$5)</f>
        <v/>
      </c>
      <c r="I772">
        <f>IF(C772="","",AVERAGE(C757:C772)*$N$5)</f>
        <v/>
      </c>
      <c r="J772">
        <f>IF(C772="","",J771+$N$6*(C772*$N$5-J771))</f>
        <v/>
      </c>
      <c r="K772">
        <f>IF(B772="","",B772-B771)</f>
        <v/>
      </c>
    </row>
    <row r="773">
      <c r="G773">
        <f>IF(C773="","",C773*$N$5)</f>
        <v/>
      </c>
      <c r="H773">
        <f>IF(C773="","",AVERAGE(C770:C773)*$N$5)</f>
        <v/>
      </c>
      <c r="I773">
        <f>IF(C773="","",AVERAGE(C758:C773)*$N$5)</f>
        <v/>
      </c>
      <c r="J773">
        <f>IF(C773="","",J772+$N$6*(C773*$N$5-J772))</f>
        <v/>
      </c>
      <c r="K773">
        <f>IF(B773="","",B773-B772)</f>
        <v/>
      </c>
    </row>
    <row r="774">
      <c r="G774">
        <f>IF(C774="","",C774*$N$5)</f>
        <v/>
      </c>
      <c r="H774">
        <f>IF(C774="","",AVERAGE(C771:C774)*$N$5)</f>
        <v/>
      </c>
      <c r="I774">
        <f>IF(C774="","",AVERAGE(C759:C774)*$N$5)</f>
        <v/>
      </c>
      <c r="J774">
        <f>IF(C774="","",J773+$N$6*(C774*$N$5-J773))</f>
        <v/>
      </c>
      <c r="K774">
        <f>IF(B774="","",B774-B773)</f>
        <v/>
      </c>
    </row>
    <row r="775">
      <c r="G775">
        <f>IF(C775="","",C775*$N$5)</f>
        <v/>
      </c>
      <c r="H775">
        <f>IF(C775="","",AVERAGE(C772:C775)*$N$5)</f>
        <v/>
      </c>
      <c r="I775">
        <f>IF(C775="","",AVERAGE(C760:C775)*$N$5)</f>
        <v/>
      </c>
      <c r="J775">
        <f>IF(C775="","",J774+$N$6*(C775*$N$5-J774))</f>
        <v/>
      </c>
      <c r="K775">
        <f>IF(B775="","",B775-B774)</f>
        <v/>
      </c>
    </row>
    <row r="776">
      <c r="G776">
        <f>IF(C776="","",C776*$N$5)</f>
        <v/>
      </c>
      <c r="H776">
        <f>IF(C776="","",AVERAGE(C773:C776)*$N$5)</f>
        <v/>
      </c>
      <c r="I776">
        <f>IF(C776="","",AVERAGE(C761:C776)*$N$5)</f>
        <v/>
      </c>
      <c r="J776">
        <f>IF(C776="","",J775+$N$6*(C776*$N$5-J775))</f>
        <v/>
      </c>
      <c r="K776">
        <f>IF(B776="","",B776-B775)</f>
        <v/>
      </c>
    </row>
    <row r="777">
      <c r="G777">
        <f>IF(C777="","",C777*$N$5)</f>
        <v/>
      </c>
      <c r="H777">
        <f>IF(C777="","",AVERAGE(C774:C777)*$N$5)</f>
        <v/>
      </c>
      <c r="I777">
        <f>IF(C777="","",AVERAGE(C762:C777)*$N$5)</f>
        <v/>
      </c>
      <c r="J777">
        <f>IF(C777="","",J776+$N$6*(C777*$N$5-J776))</f>
        <v/>
      </c>
      <c r="K777">
        <f>IF(B777="","",B777-B776)</f>
        <v/>
      </c>
    </row>
    <row r="778">
      <c r="G778">
        <f>IF(C778="","",C778*$N$5)</f>
        <v/>
      </c>
      <c r="H778">
        <f>IF(C778="","",AVERAGE(C775:C778)*$N$5)</f>
        <v/>
      </c>
      <c r="I778">
        <f>IF(C778="","",AVERAGE(C763:C778)*$N$5)</f>
        <v/>
      </c>
      <c r="J778">
        <f>IF(C778="","",J777+$N$6*(C778*$N$5-J777))</f>
        <v/>
      </c>
      <c r="K778">
        <f>IF(B778="","",B778-B777)</f>
        <v/>
      </c>
    </row>
    <row r="779">
      <c r="G779">
        <f>IF(C779="","",C779*$N$5)</f>
        <v/>
      </c>
      <c r="H779">
        <f>IF(C779="","",AVERAGE(C776:C779)*$N$5)</f>
        <v/>
      </c>
      <c r="I779">
        <f>IF(C779="","",AVERAGE(C764:C779)*$N$5)</f>
        <v/>
      </c>
      <c r="J779">
        <f>IF(C779="","",J778+$N$6*(C779*$N$5-J778))</f>
        <v/>
      </c>
      <c r="K779">
        <f>IF(B779="","",B779-B778)</f>
        <v/>
      </c>
    </row>
    <row r="780">
      <c r="G780">
        <f>IF(C780="","",C780*$N$5)</f>
        <v/>
      </c>
      <c r="H780">
        <f>IF(C780="","",AVERAGE(C777:C780)*$N$5)</f>
        <v/>
      </c>
      <c r="I780">
        <f>IF(C780="","",AVERAGE(C765:C780)*$N$5)</f>
        <v/>
      </c>
      <c r="J780">
        <f>IF(C780="","",J779+$N$6*(C780*$N$5-J779))</f>
        <v/>
      </c>
      <c r="K780">
        <f>IF(B780="","",B780-B779)</f>
        <v/>
      </c>
    </row>
    <row r="781">
      <c r="G781">
        <f>IF(C781="","",C781*$N$5)</f>
        <v/>
      </c>
      <c r="H781">
        <f>IF(C781="","",AVERAGE(C778:C781)*$N$5)</f>
        <v/>
      </c>
      <c r="I781">
        <f>IF(C781="","",AVERAGE(C766:C781)*$N$5)</f>
        <v/>
      </c>
      <c r="J781">
        <f>IF(C781="","",J780+$N$6*(C781*$N$5-J780))</f>
        <v/>
      </c>
      <c r="K781">
        <f>IF(B781="","",B781-B780)</f>
        <v/>
      </c>
    </row>
    <row r="782">
      <c r="G782">
        <f>IF(C782="","",C782*$N$5)</f>
        <v/>
      </c>
      <c r="H782">
        <f>IF(C782="","",AVERAGE(C779:C782)*$N$5)</f>
        <v/>
      </c>
      <c r="I782">
        <f>IF(C782="","",AVERAGE(C767:C782)*$N$5)</f>
        <v/>
      </c>
      <c r="J782">
        <f>IF(C782="","",J781+$N$6*(C782*$N$5-J781))</f>
        <v/>
      </c>
      <c r="K782">
        <f>IF(B782="","",B782-B781)</f>
        <v/>
      </c>
    </row>
    <row r="783">
      <c r="G783">
        <f>IF(C783="","",C783*$N$5)</f>
        <v/>
      </c>
      <c r="H783">
        <f>IF(C783="","",AVERAGE(C780:C783)*$N$5)</f>
        <v/>
      </c>
      <c r="I783">
        <f>IF(C783="","",AVERAGE(C768:C783)*$N$5)</f>
        <v/>
      </c>
      <c r="J783">
        <f>IF(C783="","",J782+$N$6*(C783*$N$5-J782))</f>
        <v/>
      </c>
      <c r="K783">
        <f>IF(B783="","",B783-B782)</f>
        <v/>
      </c>
    </row>
    <row r="784">
      <c r="G784">
        <f>IF(C784="","",C784*$N$5)</f>
        <v/>
      </c>
      <c r="H784">
        <f>IF(C784="","",AVERAGE(C781:C784)*$N$5)</f>
        <v/>
      </c>
      <c r="I784">
        <f>IF(C784="","",AVERAGE(C769:C784)*$N$5)</f>
        <v/>
      </c>
      <c r="J784">
        <f>IF(C784="","",J783+$N$6*(C784*$N$5-J783))</f>
        <v/>
      </c>
      <c r="K784">
        <f>IF(B784="","",B784-B783)</f>
        <v/>
      </c>
    </row>
    <row r="785">
      <c r="G785">
        <f>IF(C785="","",C785*$N$5)</f>
        <v/>
      </c>
      <c r="H785">
        <f>IF(C785="","",AVERAGE(C782:C785)*$N$5)</f>
        <v/>
      </c>
      <c r="I785">
        <f>IF(C785="","",AVERAGE(C770:C785)*$N$5)</f>
        <v/>
      </c>
      <c r="J785">
        <f>IF(C785="","",J784+$N$6*(C785*$N$5-J784))</f>
        <v/>
      </c>
      <c r="K785">
        <f>IF(B785="","",B785-B784)</f>
        <v/>
      </c>
    </row>
    <row r="786">
      <c r="G786">
        <f>IF(C786="","",C786*$N$5)</f>
        <v/>
      </c>
      <c r="H786">
        <f>IF(C786="","",AVERAGE(C783:C786)*$N$5)</f>
        <v/>
      </c>
      <c r="I786">
        <f>IF(C786="","",AVERAGE(C771:C786)*$N$5)</f>
        <v/>
      </c>
      <c r="J786">
        <f>IF(C786="","",J785+$N$6*(C786*$N$5-J785))</f>
        <v/>
      </c>
      <c r="K786">
        <f>IF(B786="","",B786-B785)</f>
        <v/>
      </c>
    </row>
    <row r="787">
      <c r="G787">
        <f>IF(C787="","",C787*$N$5)</f>
        <v/>
      </c>
      <c r="H787">
        <f>IF(C787="","",AVERAGE(C784:C787)*$N$5)</f>
        <v/>
      </c>
      <c r="I787">
        <f>IF(C787="","",AVERAGE(C772:C787)*$N$5)</f>
        <v/>
      </c>
      <c r="J787">
        <f>IF(C787="","",J786+$N$6*(C787*$N$5-J786))</f>
        <v/>
      </c>
      <c r="K787">
        <f>IF(B787="","",B787-B786)</f>
        <v/>
      </c>
    </row>
    <row r="788">
      <c r="G788">
        <f>IF(C788="","",C788*$N$5)</f>
        <v/>
      </c>
      <c r="H788">
        <f>IF(C788="","",AVERAGE(C785:C788)*$N$5)</f>
        <v/>
      </c>
      <c r="I788">
        <f>IF(C788="","",AVERAGE(C773:C788)*$N$5)</f>
        <v/>
      </c>
      <c r="J788">
        <f>IF(C788="","",J787+$N$6*(C788*$N$5-J787))</f>
        <v/>
      </c>
      <c r="K788">
        <f>IF(B788="","",B788-B787)</f>
        <v/>
      </c>
    </row>
    <row r="789">
      <c r="G789">
        <f>IF(C789="","",C789*$N$5)</f>
        <v/>
      </c>
      <c r="H789">
        <f>IF(C789="","",AVERAGE(C786:C789)*$N$5)</f>
        <v/>
      </c>
      <c r="I789">
        <f>IF(C789="","",AVERAGE(C774:C789)*$N$5)</f>
        <v/>
      </c>
      <c r="J789">
        <f>IF(C789="","",J788+$N$6*(C789*$N$5-J788))</f>
        <v/>
      </c>
      <c r="K789">
        <f>IF(B789="","",B789-B788)</f>
        <v/>
      </c>
    </row>
    <row r="790">
      <c r="G790">
        <f>IF(C790="","",C790*$N$5)</f>
        <v/>
      </c>
      <c r="H790">
        <f>IF(C790="","",AVERAGE(C787:C790)*$N$5)</f>
        <v/>
      </c>
      <c r="I790">
        <f>IF(C790="","",AVERAGE(C775:C790)*$N$5)</f>
        <v/>
      </c>
      <c r="J790">
        <f>IF(C790="","",J789+$N$6*(C790*$N$5-J789))</f>
        <v/>
      </c>
      <c r="K790">
        <f>IF(B790="","",B790-B789)</f>
        <v/>
      </c>
    </row>
    <row r="791">
      <c r="G791">
        <f>IF(C791="","",C791*$N$5)</f>
        <v/>
      </c>
      <c r="H791">
        <f>IF(C791="","",AVERAGE(C788:C791)*$N$5)</f>
        <v/>
      </c>
      <c r="I791">
        <f>IF(C791="","",AVERAGE(C776:C791)*$N$5)</f>
        <v/>
      </c>
      <c r="J791">
        <f>IF(C791="","",J790+$N$6*(C791*$N$5-J790))</f>
        <v/>
      </c>
      <c r="K791">
        <f>IF(B791="","",B791-B790)</f>
        <v/>
      </c>
    </row>
    <row r="792">
      <c r="G792">
        <f>IF(C792="","",C792*$N$5)</f>
        <v/>
      </c>
      <c r="H792">
        <f>IF(C792="","",AVERAGE(C789:C792)*$N$5)</f>
        <v/>
      </c>
      <c r="I792">
        <f>IF(C792="","",AVERAGE(C777:C792)*$N$5)</f>
        <v/>
      </c>
      <c r="J792">
        <f>IF(C792="","",J791+$N$6*(C792*$N$5-J791))</f>
        <v/>
      </c>
      <c r="K792">
        <f>IF(B792="","",B792-B791)</f>
        <v/>
      </c>
    </row>
    <row r="793">
      <c r="G793">
        <f>IF(C793="","",C793*$N$5)</f>
        <v/>
      </c>
      <c r="H793">
        <f>IF(C793="","",AVERAGE(C790:C793)*$N$5)</f>
        <v/>
      </c>
      <c r="I793">
        <f>IF(C793="","",AVERAGE(C778:C793)*$N$5)</f>
        <v/>
      </c>
      <c r="J793">
        <f>IF(C793="","",J792+$N$6*(C793*$N$5-J792))</f>
        <v/>
      </c>
      <c r="K793">
        <f>IF(B793="","",B793-B792)</f>
        <v/>
      </c>
    </row>
    <row r="794">
      <c r="G794">
        <f>IF(C794="","",C794*$N$5)</f>
        <v/>
      </c>
      <c r="H794">
        <f>IF(C794="","",AVERAGE(C791:C794)*$N$5)</f>
        <v/>
      </c>
      <c r="I794">
        <f>IF(C794="","",AVERAGE(C779:C794)*$N$5)</f>
        <v/>
      </c>
      <c r="J794">
        <f>IF(C794="","",J793+$N$6*(C794*$N$5-J793))</f>
        <v/>
      </c>
      <c r="K794">
        <f>IF(B794="","",B794-B793)</f>
        <v/>
      </c>
    </row>
    <row r="795">
      <c r="G795">
        <f>IF(C795="","",C795*$N$5)</f>
        <v/>
      </c>
      <c r="H795">
        <f>IF(C795="","",AVERAGE(C792:C795)*$N$5)</f>
        <v/>
      </c>
      <c r="I795">
        <f>IF(C795="","",AVERAGE(C780:C795)*$N$5)</f>
        <v/>
      </c>
      <c r="J795">
        <f>IF(C795="","",J794+$N$6*(C795*$N$5-J794))</f>
        <v/>
      </c>
      <c r="K795">
        <f>IF(B795="","",B795-B794)</f>
        <v/>
      </c>
    </row>
    <row r="796">
      <c r="G796">
        <f>IF(C796="","",C796*$N$5)</f>
        <v/>
      </c>
      <c r="H796">
        <f>IF(C796="","",AVERAGE(C793:C796)*$N$5)</f>
        <v/>
      </c>
      <c r="I796">
        <f>IF(C796="","",AVERAGE(C781:C796)*$N$5)</f>
        <v/>
      </c>
      <c r="J796">
        <f>IF(C796="","",J795+$N$6*(C796*$N$5-J795))</f>
        <v/>
      </c>
      <c r="K796">
        <f>IF(B796="","",B796-B795)</f>
        <v/>
      </c>
    </row>
    <row r="797">
      <c r="G797">
        <f>IF(C797="","",C797*$N$5)</f>
        <v/>
      </c>
      <c r="H797">
        <f>IF(C797="","",AVERAGE(C794:C797)*$N$5)</f>
        <v/>
      </c>
      <c r="I797">
        <f>IF(C797="","",AVERAGE(C782:C797)*$N$5)</f>
        <v/>
      </c>
      <c r="J797">
        <f>IF(C797="","",J796+$N$6*(C797*$N$5-J796))</f>
        <v/>
      </c>
      <c r="K797">
        <f>IF(B797="","",B797-B796)</f>
        <v/>
      </c>
    </row>
    <row r="798">
      <c r="G798">
        <f>IF(C798="","",C798*$N$5)</f>
        <v/>
      </c>
      <c r="H798">
        <f>IF(C798="","",AVERAGE(C795:C798)*$N$5)</f>
        <v/>
      </c>
      <c r="I798">
        <f>IF(C798="","",AVERAGE(C783:C798)*$N$5)</f>
        <v/>
      </c>
      <c r="J798">
        <f>IF(C798="","",J797+$N$6*(C798*$N$5-J797))</f>
        <v/>
      </c>
      <c r="K798">
        <f>IF(B798="","",B798-B797)</f>
        <v/>
      </c>
    </row>
    <row r="799">
      <c r="G799">
        <f>IF(C799="","",C799*$N$5)</f>
        <v/>
      </c>
      <c r="H799">
        <f>IF(C799="","",AVERAGE(C796:C799)*$N$5)</f>
        <v/>
      </c>
      <c r="I799">
        <f>IF(C799="","",AVERAGE(C784:C799)*$N$5)</f>
        <v/>
      </c>
      <c r="J799">
        <f>IF(C799="","",J798+$N$6*(C799*$N$5-J798))</f>
        <v/>
      </c>
      <c r="K799">
        <f>IF(B799="","",B799-B798)</f>
        <v/>
      </c>
    </row>
    <row r="800">
      <c r="G800">
        <f>IF(C800="","",C800*$N$5)</f>
        <v/>
      </c>
      <c r="H800">
        <f>IF(C800="","",AVERAGE(C797:C800)*$N$5)</f>
        <v/>
      </c>
      <c r="I800">
        <f>IF(C800="","",AVERAGE(C785:C800)*$N$5)</f>
        <v/>
      </c>
      <c r="J800">
        <f>IF(C800="","",J799+$N$6*(C800*$N$5-J799))</f>
        <v/>
      </c>
      <c r="K800">
        <f>IF(B800="","",B800-B799)</f>
        <v/>
      </c>
    </row>
    <row r="801">
      <c r="G801">
        <f>IF(C801="","",C801*$N$5)</f>
        <v/>
      </c>
      <c r="H801">
        <f>IF(C801="","",AVERAGE(C798:C801)*$N$5)</f>
        <v/>
      </c>
      <c r="I801">
        <f>IF(C801="","",AVERAGE(C786:C801)*$N$5)</f>
        <v/>
      </c>
      <c r="J801">
        <f>IF(C801="","",J800+$N$6*(C801*$N$5-J800))</f>
        <v/>
      </c>
      <c r="K801">
        <f>IF(B801="","",B801-B800)</f>
        <v/>
      </c>
    </row>
    <row r="802">
      <c r="G802">
        <f>IF(C802="","",C802*$N$5)</f>
        <v/>
      </c>
      <c r="H802">
        <f>IF(C802="","",AVERAGE(C799:C802)*$N$5)</f>
        <v/>
      </c>
      <c r="I802">
        <f>IF(C802="","",AVERAGE(C787:C802)*$N$5)</f>
        <v/>
      </c>
      <c r="J802">
        <f>IF(C802="","",J801+$N$6*(C802*$N$5-J801))</f>
        <v/>
      </c>
      <c r="K802">
        <f>IF(B802="","",B802-B801)</f>
        <v/>
      </c>
    </row>
    <row r="803">
      <c r="G803">
        <f>IF(C803="","",C803*$N$5)</f>
        <v/>
      </c>
      <c r="H803">
        <f>IF(C803="","",AVERAGE(C800:C803)*$N$5)</f>
        <v/>
      </c>
      <c r="I803">
        <f>IF(C803="","",AVERAGE(C788:C803)*$N$5)</f>
        <v/>
      </c>
      <c r="J803">
        <f>IF(C803="","",J802+$N$6*(C803*$N$5-J802))</f>
        <v/>
      </c>
      <c r="K803">
        <f>IF(B803="","",B803-B802)</f>
        <v/>
      </c>
    </row>
    <row r="804">
      <c r="G804">
        <f>IF(C804="","",C804*$N$5)</f>
        <v/>
      </c>
      <c r="H804">
        <f>IF(C804="","",AVERAGE(C801:C804)*$N$5)</f>
        <v/>
      </c>
      <c r="I804">
        <f>IF(C804="","",AVERAGE(C789:C804)*$N$5)</f>
        <v/>
      </c>
      <c r="J804">
        <f>IF(C804="","",J803+$N$6*(C804*$N$5-J803))</f>
        <v/>
      </c>
      <c r="K804">
        <f>IF(B804="","",B804-B803)</f>
        <v/>
      </c>
    </row>
    <row r="805">
      <c r="G805">
        <f>IF(C805="","",C805*$N$5)</f>
        <v/>
      </c>
      <c r="H805">
        <f>IF(C805="","",AVERAGE(C802:C805)*$N$5)</f>
        <v/>
      </c>
      <c r="I805">
        <f>IF(C805="","",AVERAGE(C790:C805)*$N$5)</f>
        <v/>
      </c>
      <c r="J805">
        <f>IF(C805="","",J804+$N$6*(C805*$N$5-J804))</f>
        <v/>
      </c>
      <c r="K805">
        <f>IF(B805="","",B805-B804)</f>
        <v/>
      </c>
    </row>
    <row r="806">
      <c r="G806">
        <f>IF(C806="","",C806*$N$5)</f>
        <v/>
      </c>
      <c r="H806">
        <f>IF(C806="","",AVERAGE(C803:C806)*$N$5)</f>
        <v/>
      </c>
      <c r="I806">
        <f>IF(C806="","",AVERAGE(C791:C806)*$N$5)</f>
        <v/>
      </c>
      <c r="J806">
        <f>IF(C806="","",J805+$N$6*(C806*$N$5-J805))</f>
        <v/>
      </c>
      <c r="K806">
        <f>IF(B806="","",B806-B805)</f>
        <v/>
      </c>
    </row>
    <row r="807">
      <c r="G807">
        <f>IF(C807="","",C807*$N$5)</f>
        <v/>
      </c>
      <c r="H807">
        <f>IF(C807="","",AVERAGE(C804:C807)*$N$5)</f>
        <v/>
      </c>
      <c r="I807">
        <f>IF(C807="","",AVERAGE(C792:C807)*$N$5)</f>
        <v/>
      </c>
      <c r="J807">
        <f>IF(C807="","",J806+$N$6*(C807*$N$5-J806))</f>
        <v/>
      </c>
      <c r="K807">
        <f>IF(B807="","",B807-B806)</f>
        <v/>
      </c>
    </row>
    <row r="808">
      <c r="G808">
        <f>IF(C808="","",C808*$N$5)</f>
        <v/>
      </c>
      <c r="H808">
        <f>IF(C808="","",AVERAGE(C805:C808)*$N$5)</f>
        <v/>
      </c>
      <c r="I808">
        <f>IF(C808="","",AVERAGE(C793:C808)*$N$5)</f>
        <v/>
      </c>
      <c r="J808">
        <f>IF(C808="","",J807+$N$6*(C808*$N$5-J807))</f>
        <v/>
      </c>
      <c r="K808">
        <f>IF(B808="","",B808-B807)</f>
        <v/>
      </c>
    </row>
    <row r="809">
      <c r="G809">
        <f>IF(C809="","",C809*$N$5)</f>
        <v/>
      </c>
      <c r="H809">
        <f>IF(C809="","",AVERAGE(C806:C809)*$N$5)</f>
        <v/>
      </c>
      <c r="I809">
        <f>IF(C809="","",AVERAGE(C794:C809)*$N$5)</f>
        <v/>
      </c>
      <c r="J809">
        <f>IF(C809="","",J808+$N$6*(C809*$N$5-J808))</f>
        <v/>
      </c>
      <c r="K809">
        <f>IF(B809="","",B809-B808)</f>
        <v/>
      </c>
    </row>
    <row r="810">
      <c r="G810">
        <f>IF(C810="","",C810*$N$5)</f>
        <v/>
      </c>
      <c r="H810">
        <f>IF(C810="","",AVERAGE(C807:C810)*$N$5)</f>
        <v/>
      </c>
      <c r="I810">
        <f>IF(C810="","",AVERAGE(C795:C810)*$N$5)</f>
        <v/>
      </c>
      <c r="J810">
        <f>IF(C810="","",J809+$N$6*(C810*$N$5-J809))</f>
        <v/>
      </c>
      <c r="K810">
        <f>IF(B810="","",B810-B809)</f>
        <v/>
      </c>
    </row>
    <row r="811">
      <c r="G811">
        <f>IF(C811="","",C811*$N$5)</f>
        <v/>
      </c>
      <c r="H811">
        <f>IF(C811="","",AVERAGE(C808:C811)*$N$5)</f>
        <v/>
      </c>
      <c r="I811">
        <f>IF(C811="","",AVERAGE(C796:C811)*$N$5)</f>
        <v/>
      </c>
      <c r="J811">
        <f>IF(C811="","",J810+$N$6*(C811*$N$5-J810))</f>
        <v/>
      </c>
      <c r="K811">
        <f>IF(B811="","",B811-B810)</f>
        <v/>
      </c>
    </row>
    <row r="812">
      <c r="G812">
        <f>IF(C812="","",C812*$N$5)</f>
        <v/>
      </c>
      <c r="H812">
        <f>IF(C812="","",AVERAGE(C809:C812)*$N$5)</f>
        <v/>
      </c>
      <c r="I812">
        <f>IF(C812="","",AVERAGE(C797:C812)*$N$5)</f>
        <v/>
      </c>
      <c r="J812">
        <f>IF(C812="","",J811+$N$6*(C812*$N$5-J811))</f>
        <v/>
      </c>
      <c r="K812">
        <f>IF(B812="","",B812-B811)</f>
        <v/>
      </c>
    </row>
    <row r="813">
      <c r="G813">
        <f>IF(C813="","",C813*$N$5)</f>
        <v/>
      </c>
      <c r="H813">
        <f>IF(C813="","",AVERAGE(C810:C813)*$N$5)</f>
        <v/>
      </c>
      <c r="I813">
        <f>IF(C813="","",AVERAGE(C798:C813)*$N$5)</f>
        <v/>
      </c>
      <c r="J813">
        <f>IF(C813="","",J812+$N$6*(C813*$N$5-J812))</f>
        <v/>
      </c>
      <c r="K813">
        <f>IF(B813="","",B813-B812)</f>
        <v/>
      </c>
    </row>
    <row r="814">
      <c r="G814">
        <f>IF(C814="","",C814*$N$5)</f>
        <v/>
      </c>
      <c r="H814">
        <f>IF(C814="","",AVERAGE(C811:C814)*$N$5)</f>
        <v/>
      </c>
      <c r="I814">
        <f>IF(C814="","",AVERAGE(C799:C814)*$N$5)</f>
        <v/>
      </c>
      <c r="J814">
        <f>IF(C814="","",J813+$N$6*(C814*$N$5-J813))</f>
        <v/>
      </c>
      <c r="K814">
        <f>IF(B814="","",B814-B813)</f>
        <v/>
      </c>
    </row>
    <row r="815">
      <c r="G815">
        <f>IF(C815="","",C815*$N$5)</f>
        <v/>
      </c>
      <c r="H815">
        <f>IF(C815="","",AVERAGE(C812:C815)*$N$5)</f>
        <v/>
      </c>
      <c r="I815">
        <f>IF(C815="","",AVERAGE(C800:C815)*$N$5)</f>
        <v/>
      </c>
      <c r="J815">
        <f>IF(C815="","",J814+$N$6*(C815*$N$5-J814))</f>
        <v/>
      </c>
      <c r="K815">
        <f>IF(B815="","",B815-B814)</f>
        <v/>
      </c>
    </row>
    <row r="816">
      <c r="G816">
        <f>IF(C816="","",C816*$N$5)</f>
        <v/>
      </c>
      <c r="H816">
        <f>IF(C816="","",AVERAGE(C813:C816)*$N$5)</f>
        <v/>
      </c>
      <c r="I816">
        <f>IF(C816="","",AVERAGE(C801:C816)*$N$5)</f>
        <v/>
      </c>
      <c r="J816">
        <f>IF(C816="","",J815+$N$6*(C816*$N$5-J815))</f>
        <v/>
      </c>
      <c r="K816">
        <f>IF(B816="","",B816-B815)</f>
        <v/>
      </c>
    </row>
    <row r="817">
      <c r="G817">
        <f>IF(C817="","",C817*$N$5)</f>
        <v/>
      </c>
      <c r="H817">
        <f>IF(C817="","",AVERAGE(C814:C817)*$N$5)</f>
        <v/>
      </c>
      <c r="I817">
        <f>IF(C817="","",AVERAGE(C802:C817)*$N$5)</f>
        <v/>
      </c>
      <c r="J817">
        <f>IF(C817="","",J816+$N$6*(C817*$N$5-J816))</f>
        <v/>
      </c>
      <c r="K817">
        <f>IF(B817="","",B817-B816)</f>
        <v/>
      </c>
    </row>
    <row r="818">
      <c r="G818">
        <f>IF(C818="","",C818*$N$5)</f>
        <v/>
      </c>
      <c r="H818">
        <f>IF(C818="","",AVERAGE(C815:C818)*$N$5)</f>
        <v/>
      </c>
      <c r="I818">
        <f>IF(C818="","",AVERAGE(C803:C818)*$N$5)</f>
        <v/>
      </c>
      <c r="J818">
        <f>IF(C818="","",J817+$N$6*(C818*$N$5-J817))</f>
        <v/>
      </c>
      <c r="K818">
        <f>IF(B818="","",B818-B817)</f>
        <v/>
      </c>
    </row>
    <row r="819">
      <c r="G819">
        <f>IF(C819="","",C819*$N$5)</f>
        <v/>
      </c>
      <c r="H819">
        <f>IF(C819="","",AVERAGE(C816:C819)*$N$5)</f>
        <v/>
      </c>
      <c r="I819">
        <f>IF(C819="","",AVERAGE(C804:C819)*$N$5)</f>
        <v/>
      </c>
      <c r="J819">
        <f>IF(C819="","",J818+$N$6*(C819*$N$5-J818))</f>
        <v/>
      </c>
      <c r="K819">
        <f>IF(B819="","",B819-B818)</f>
        <v/>
      </c>
    </row>
    <row r="820">
      <c r="G820">
        <f>IF(C820="","",C820*$N$5)</f>
        <v/>
      </c>
      <c r="H820">
        <f>IF(C820="","",AVERAGE(C817:C820)*$N$5)</f>
        <v/>
      </c>
      <c r="I820">
        <f>IF(C820="","",AVERAGE(C805:C820)*$N$5)</f>
        <v/>
      </c>
      <c r="J820">
        <f>IF(C820="","",J819+$N$6*(C820*$N$5-J819))</f>
        <v/>
      </c>
      <c r="K820">
        <f>IF(B820="","",B820-B819)</f>
        <v/>
      </c>
    </row>
    <row r="821">
      <c r="G821">
        <f>IF(C821="","",C821*$N$5)</f>
        <v/>
      </c>
      <c r="H821">
        <f>IF(C821="","",AVERAGE(C818:C821)*$N$5)</f>
        <v/>
      </c>
      <c r="I821">
        <f>IF(C821="","",AVERAGE(C806:C821)*$N$5)</f>
        <v/>
      </c>
      <c r="J821">
        <f>IF(C821="","",J820+$N$6*(C821*$N$5-J820))</f>
        <v/>
      </c>
      <c r="K821">
        <f>IF(B821="","",B821-B820)</f>
        <v/>
      </c>
    </row>
    <row r="822">
      <c r="G822">
        <f>IF(C822="","",C822*$N$5)</f>
        <v/>
      </c>
      <c r="H822">
        <f>IF(C822="","",AVERAGE(C819:C822)*$N$5)</f>
        <v/>
      </c>
      <c r="I822">
        <f>IF(C822="","",AVERAGE(C807:C822)*$N$5)</f>
        <v/>
      </c>
      <c r="J822">
        <f>IF(C822="","",J821+$N$6*(C822*$N$5-J821))</f>
        <v/>
      </c>
      <c r="K822">
        <f>IF(B822="","",B822-B821)</f>
        <v/>
      </c>
    </row>
    <row r="823">
      <c r="G823">
        <f>IF(C823="","",C823*$N$5)</f>
        <v/>
      </c>
      <c r="H823">
        <f>IF(C823="","",AVERAGE(C820:C823)*$N$5)</f>
        <v/>
      </c>
      <c r="I823">
        <f>IF(C823="","",AVERAGE(C808:C823)*$N$5)</f>
        <v/>
      </c>
      <c r="J823">
        <f>IF(C823="","",J822+$N$6*(C823*$N$5-J822))</f>
        <v/>
      </c>
      <c r="K823">
        <f>IF(B823="","",B823-B822)</f>
        <v/>
      </c>
    </row>
    <row r="824">
      <c r="G824">
        <f>IF(C824="","",C824*$N$5)</f>
        <v/>
      </c>
      <c r="H824">
        <f>IF(C824="","",AVERAGE(C821:C824)*$N$5)</f>
        <v/>
      </c>
      <c r="I824">
        <f>IF(C824="","",AVERAGE(C809:C824)*$N$5)</f>
        <v/>
      </c>
      <c r="J824">
        <f>IF(C824="","",J823+$N$6*(C824*$N$5-J823))</f>
        <v/>
      </c>
      <c r="K824">
        <f>IF(B824="","",B824-B823)</f>
        <v/>
      </c>
    </row>
    <row r="825">
      <c r="G825">
        <f>IF(C825="","",C825*$N$5)</f>
        <v/>
      </c>
      <c r="H825">
        <f>IF(C825="","",AVERAGE(C822:C825)*$N$5)</f>
        <v/>
      </c>
      <c r="I825">
        <f>IF(C825="","",AVERAGE(C810:C825)*$N$5)</f>
        <v/>
      </c>
      <c r="J825">
        <f>IF(C825="","",J824+$N$6*(C825*$N$5-J824))</f>
        <v/>
      </c>
      <c r="K825">
        <f>IF(B825="","",B825-B824)</f>
        <v/>
      </c>
    </row>
    <row r="826">
      <c r="G826">
        <f>IF(C826="","",C826*$N$5)</f>
        <v/>
      </c>
      <c r="H826">
        <f>IF(C826="","",AVERAGE(C823:C826)*$N$5)</f>
        <v/>
      </c>
      <c r="I826">
        <f>IF(C826="","",AVERAGE(C811:C826)*$N$5)</f>
        <v/>
      </c>
      <c r="J826">
        <f>IF(C826="","",J825+$N$6*(C826*$N$5-J825))</f>
        <v/>
      </c>
      <c r="K826">
        <f>IF(B826="","",B826-B825)</f>
        <v/>
      </c>
    </row>
    <row r="827">
      <c r="G827">
        <f>IF(C827="","",C827*$N$5)</f>
        <v/>
      </c>
      <c r="H827">
        <f>IF(C827="","",AVERAGE(C824:C827)*$N$5)</f>
        <v/>
      </c>
      <c r="I827">
        <f>IF(C827="","",AVERAGE(C812:C827)*$N$5)</f>
        <v/>
      </c>
      <c r="J827">
        <f>IF(C827="","",J826+$N$6*(C827*$N$5-J826))</f>
        <v/>
      </c>
      <c r="K827">
        <f>IF(B827="","",B827-B826)</f>
        <v/>
      </c>
    </row>
    <row r="828">
      <c r="G828">
        <f>IF(C828="","",C828*$N$5)</f>
        <v/>
      </c>
      <c r="H828">
        <f>IF(C828="","",AVERAGE(C825:C828)*$N$5)</f>
        <v/>
      </c>
      <c r="I828">
        <f>IF(C828="","",AVERAGE(C813:C828)*$N$5)</f>
        <v/>
      </c>
      <c r="J828">
        <f>IF(C828="","",J827+$N$6*(C828*$N$5-J827))</f>
        <v/>
      </c>
      <c r="K828">
        <f>IF(B828="","",B828-B827)</f>
        <v/>
      </c>
    </row>
    <row r="829">
      <c r="G829">
        <f>IF(C829="","",C829*$N$5)</f>
        <v/>
      </c>
      <c r="H829">
        <f>IF(C829="","",AVERAGE(C826:C829)*$N$5)</f>
        <v/>
      </c>
      <c r="I829">
        <f>IF(C829="","",AVERAGE(C814:C829)*$N$5)</f>
        <v/>
      </c>
      <c r="J829">
        <f>IF(C829="","",J828+$N$6*(C829*$N$5-J828))</f>
        <v/>
      </c>
      <c r="K829">
        <f>IF(B829="","",B829-B828)</f>
        <v/>
      </c>
    </row>
    <row r="830">
      <c r="G830">
        <f>IF(C830="","",C830*$N$5)</f>
        <v/>
      </c>
      <c r="H830">
        <f>IF(C830="","",AVERAGE(C827:C830)*$N$5)</f>
        <v/>
      </c>
      <c r="I830">
        <f>IF(C830="","",AVERAGE(C815:C830)*$N$5)</f>
        <v/>
      </c>
      <c r="J830">
        <f>IF(C830="","",J829+$N$6*(C830*$N$5-J829))</f>
        <v/>
      </c>
      <c r="K830">
        <f>IF(B830="","",B830-B829)</f>
        <v/>
      </c>
    </row>
    <row r="831">
      <c r="G831">
        <f>IF(C831="","",C831*$N$5)</f>
        <v/>
      </c>
      <c r="H831">
        <f>IF(C831="","",AVERAGE(C828:C831)*$N$5)</f>
        <v/>
      </c>
      <c r="I831">
        <f>IF(C831="","",AVERAGE(C816:C831)*$N$5)</f>
        <v/>
      </c>
      <c r="J831">
        <f>IF(C831="","",J830+$N$6*(C831*$N$5-J830))</f>
        <v/>
      </c>
      <c r="K831">
        <f>IF(B831="","",B831-B830)</f>
        <v/>
      </c>
    </row>
    <row r="832">
      <c r="G832">
        <f>IF(C832="","",C832*$N$5)</f>
        <v/>
      </c>
      <c r="H832">
        <f>IF(C832="","",AVERAGE(C829:C832)*$N$5)</f>
        <v/>
      </c>
      <c r="I832">
        <f>IF(C832="","",AVERAGE(C817:C832)*$N$5)</f>
        <v/>
      </c>
      <c r="J832">
        <f>IF(C832="","",J831+$N$6*(C832*$N$5-J831))</f>
        <v/>
      </c>
      <c r="K832">
        <f>IF(B832="","",B832-B831)</f>
        <v/>
      </c>
    </row>
    <row r="833">
      <c r="G833">
        <f>IF(C833="","",C833*$N$5)</f>
        <v/>
      </c>
      <c r="H833">
        <f>IF(C833="","",AVERAGE(C830:C833)*$N$5)</f>
        <v/>
      </c>
      <c r="I833">
        <f>IF(C833="","",AVERAGE(C818:C833)*$N$5)</f>
        <v/>
      </c>
      <c r="J833">
        <f>IF(C833="","",J832+$N$6*(C833*$N$5-J832))</f>
        <v/>
      </c>
      <c r="K833">
        <f>IF(B833="","",B833-B832)</f>
        <v/>
      </c>
    </row>
    <row r="834">
      <c r="G834">
        <f>IF(C834="","",C834*$N$5)</f>
        <v/>
      </c>
      <c r="H834">
        <f>IF(C834="","",AVERAGE(C831:C834)*$N$5)</f>
        <v/>
      </c>
      <c r="I834">
        <f>IF(C834="","",AVERAGE(C819:C834)*$N$5)</f>
        <v/>
      </c>
      <c r="J834">
        <f>IF(C834="","",J833+$N$6*(C834*$N$5-J833))</f>
        <v/>
      </c>
      <c r="K834">
        <f>IF(B834="","",B834-B833)</f>
        <v/>
      </c>
    </row>
    <row r="835">
      <c r="G835">
        <f>IF(C835="","",C835*$N$5)</f>
        <v/>
      </c>
      <c r="H835">
        <f>IF(C835="","",AVERAGE(C832:C835)*$N$5)</f>
        <v/>
      </c>
      <c r="I835">
        <f>IF(C835="","",AVERAGE(C820:C835)*$N$5)</f>
        <v/>
      </c>
      <c r="J835">
        <f>IF(C835="","",J834+$N$6*(C835*$N$5-J834))</f>
        <v/>
      </c>
      <c r="K835">
        <f>IF(B835="","",B835-B834)</f>
        <v/>
      </c>
    </row>
    <row r="836">
      <c r="G836">
        <f>IF(C836="","",C836*$N$5)</f>
        <v/>
      </c>
      <c r="H836">
        <f>IF(C836="","",AVERAGE(C833:C836)*$N$5)</f>
        <v/>
      </c>
      <c r="I836">
        <f>IF(C836="","",AVERAGE(C821:C836)*$N$5)</f>
        <v/>
      </c>
      <c r="J836">
        <f>IF(C836="","",J835+$N$6*(C836*$N$5-J835))</f>
        <v/>
      </c>
      <c r="K836">
        <f>IF(B836="","",B836-B835)</f>
        <v/>
      </c>
    </row>
    <row r="837">
      <c r="G837">
        <f>IF(C837="","",C837*$N$5)</f>
        <v/>
      </c>
      <c r="H837">
        <f>IF(C837="","",AVERAGE(C834:C837)*$N$5)</f>
        <v/>
      </c>
      <c r="I837">
        <f>IF(C837="","",AVERAGE(C822:C837)*$N$5)</f>
        <v/>
      </c>
      <c r="J837">
        <f>IF(C837="","",J836+$N$6*(C837*$N$5-J836))</f>
        <v/>
      </c>
      <c r="K837">
        <f>IF(B837="","",B837-B836)</f>
        <v/>
      </c>
    </row>
    <row r="838">
      <c r="G838">
        <f>IF(C838="","",C838*$N$5)</f>
        <v/>
      </c>
      <c r="H838">
        <f>IF(C838="","",AVERAGE(C835:C838)*$N$5)</f>
        <v/>
      </c>
      <c r="I838">
        <f>IF(C838="","",AVERAGE(C823:C838)*$N$5)</f>
        <v/>
      </c>
      <c r="J838">
        <f>IF(C838="","",J837+$N$6*(C838*$N$5-J837))</f>
        <v/>
      </c>
      <c r="K838">
        <f>IF(B838="","",B838-B837)</f>
        <v/>
      </c>
    </row>
    <row r="839">
      <c r="G839">
        <f>IF(C839="","",C839*$N$5)</f>
        <v/>
      </c>
      <c r="H839">
        <f>IF(C839="","",AVERAGE(C836:C839)*$N$5)</f>
        <v/>
      </c>
      <c r="I839">
        <f>IF(C839="","",AVERAGE(C824:C839)*$N$5)</f>
        <v/>
      </c>
      <c r="J839">
        <f>IF(C839="","",J838+$N$6*(C839*$N$5-J838))</f>
        <v/>
      </c>
      <c r="K839">
        <f>IF(B839="","",B839-B838)</f>
        <v/>
      </c>
    </row>
    <row r="840">
      <c r="G840">
        <f>IF(C840="","",C840*$N$5)</f>
        <v/>
      </c>
      <c r="H840">
        <f>IF(C840="","",AVERAGE(C837:C840)*$N$5)</f>
        <v/>
      </c>
      <c r="I840">
        <f>IF(C840="","",AVERAGE(C825:C840)*$N$5)</f>
        <v/>
      </c>
      <c r="J840">
        <f>IF(C840="","",J839+$N$6*(C840*$N$5-J839))</f>
        <v/>
      </c>
      <c r="K840">
        <f>IF(B840="","",B840-B839)</f>
        <v/>
      </c>
    </row>
    <row r="841">
      <c r="G841">
        <f>IF(C841="","",C841*$N$5)</f>
        <v/>
      </c>
      <c r="H841">
        <f>IF(C841="","",AVERAGE(C838:C841)*$N$5)</f>
        <v/>
      </c>
      <c r="I841">
        <f>IF(C841="","",AVERAGE(C826:C841)*$N$5)</f>
        <v/>
      </c>
      <c r="J841">
        <f>IF(C841="","",J840+$N$6*(C841*$N$5-J840))</f>
        <v/>
      </c>
      <c r="K841">
        <f>IF(B841="","",B841-B840)</f>
        <v/>
      </c>
    </row>
    <row r="842">
      <c r="G842">
        <f>IF(C842="","",C842*$N$5)</f>
        <v/>
      </c>
      <c r="H842">
        <f>IF(C842="","",AVERAGE(C839:C842)*$N$5)</f>
        <v/>
      </c>
      <c r="I842">
        <f>IF(C842="","",AVERAGE(C827:C842)*$N$5)</f>
        <v/>
      </c>
      <c r="J842">
        <f>IF(C842="","",J841+$N$6*(C842*$N$5-J841))</f>
        <v/>
      </c>
      <c r="K842">
        <f>IF(B842="","",B842-B841)</f>
        <v/>
      </c>
    </row>
    <row r="843">
      <c r="G843">
        <f>IF(C843="","",C843*$N$5)</f>
        <v/>
      </c>
      <c r="H843">
        <f>IF(C843="","",AVERAGE(C840:C843)*$N$5)</f>
        <v/>
      </c>
      <c r="I843">
        <f>IF(C843="","",AVERAGE(C828:C843)*$N$5)</f>
        <v/>
      </c>
      <c r="J843">
        <f>IF(C843="","",J842+$N$6*(C843*$N$5-J842))</f>
        <v/>
      </c>
      <c r="K843">
        <f>IF(B843="","",B843-B842)</f>
        <v/>
      </c>
    </row>
    <row r="844">
      <c r="G844">
        <f>IF(C844="","",C844*$N$5)</f>
        <v/>
      </c>
      <c r="H844">
        <f>IF(C844="","",AVERAGE(C841:C844)*$N$5)</f>
        <v/>
      </c>
      <c r="I844">
        <f>IF(C844="","",AVERAGE(C829:C844)*$N$5)</f>
        <v/>
      </c>
      <c r="J844">
        <f>IF(C844="","",J843+$N$6*(C844*$N$5-J843))</f>
        <v/>
      </c>
      <c r="K844">
        <f>IF(B844="","",B844-B843)</f>
        <v/>
      </c>
    </row>
    <row r="845">
      <c r="G845">
        <f>IF(C845="","",C845*$N$5)</f>
        <v/>
      </c>
      <c r="H845">
        <f>IF(C845="","",AVERAGE(C842:C845)*$N$5)</f>
        <v/>
      </c>
      <c r="I845">
        <f>IF(C845="","",AVERAGE(C830:C845)*$N$5)</f>
        <v/>
      </c>
      <c r="J845">
        <f>IF(C845="","",J844+$N$6*(C845*$N$5-J844))</f>
        <v/>
      </c>
      <c r="K845">
        <f>IF(B845="","",B845-B844)</f>
        <v/>
      </c>
    </row>
    <row r="846">
      <c r="G846">
        <f>IF(C846="","",C846*$N$5)</f>
        <v/>
      </c>
      <c r="H846">
        <f>IF(C846="","",AVERAGE(C843:C846)*$N$5)</f>
        <v/>
      </c>
      <c r="I846">
        <f>IF(C846="","",AVERAGE(C831:C846)*$N$5)</f>
        <v/>
      </c>
      <c r="J846">
        <f>IF(C846="","",J845+$N$6*(C846*$N$5-J845))</f>
        <v/>
      </c>
      <c r="K846">
        <f>IF(B846="","",B846-B845)</f>
        <v/>
      </c>
    </row>
    <row r="847">
      <c r="G847">
        <f>IF(C847="","",C847*$N$5)</f>
        <v/>
      </c>
      <c r="H847">
        <f>IF(C847="","",AVERAGE(C844:C847)*$N$5)</f>
        <v/>
      </c>
      <c r="I847">
        <f>IF(C847="","",AVERAGE(C832:C847)*$N$5)</f>
        <v/>
      </c>
      <c r="J847">
        <f>IF(C847="","",J846+$N$6*(C847*$N$5-J846))</f>
        <v/>
      </c>
      <c r="K847">
        <f>IF(B847="","",B847-B846)</f>
        <v/>
      </c>
    </row>
    <row r="848">
      <c r="G848">
        <f>IF(C848="","",C848*$N$5)</f>
        <v/>
      </c>
      <c r="H848">
        <f>IF(C848="","",AVERAGE(C845:C848)*$N$5)</f>
        <v/>
      </c>
      <c r="I848">
        <f>IF(C848="","",AVERAGE(C833:C848)*$N$5)</f>
        <v/>
      </c>
      <c r="J848">
        <f>IF(C848="","",J847+$N$6*(C848*$N$5-J847))</f>
        <v/>
      </c>
      <c r="K848">
        <f>IF(B848="","",B848-B847)</f>
        <v/>
      </c>
    </row>
    <row r="849">
      <c r="G849">
        <f>IF(C849="","",C849*$N$5)</f>
        <v/>
      </c>
      <c r="H849">
        <f>IF(C849="","",AVERAGE(C846:C849)*$N$5)</f>
        <v/>
      </c>
      <c r="I849">
        <f>IF(C849="","",AVERAGE(C834:C849)*$N$5)</f>
        <v/>
      </c>
      <c r="J849">
        <f>IF(C849="","",J848+$N$6*(C849*$N$5-J848))</f>
        <v/>
      </c>
      <c r="K849">
        <f>IF(B849="","",B849-B848)</f>
        <v/>
      </c>
    </row>
    <row r="850">
      <c r="G850">
        <f>IF(C850="","",C850*$N$5)</f>
        <v/>
      </c>
      <c r="H850">
        <f>IF(C850="","",AVERAGE(C847:C850)*$N$5)</f>
        <v/>
      </c>
      <c r="I850">
        <f>IF(C850="","",AVERAGE(C835:C850)*$N$5)</f>
        <v/>
      </c>
      <c r="J850">
        <f>IF(C850="","",J849+$N$6*(C850*$N$5-J849))</f>
        <v/>
      </c>
      <c r="K850">
        <f>IF(B850="","",B850-B849)</f>
        <v/>
      </c>
    </row>
    <row r="851">
      <c r="G851">
        <f>IF(C851="","",C851*$N$5)</f>
        <v/>
      </c>
      <c r="H851">
        <f>IF(C851="","",AVERAGE(C848:C851)*$N$5)</f>
        <v/>
      </c>
      <c r="I851">
        <f>IF(C851="","",AVERAGE(C836:C851)*$N$5)</f>
        <v/>
      </c>
      <c r="J851">
        <f>IF(C851="","",J850+$N$6*(C851*$N$5-J850))</f>
        <v/>
      </c>
      <c r="K851">
        <f>IF(B851="","",B851-B850)</f>
        <v/>
      </c>
    </row>
    <row r="852">
      <c r="G852">
        <f>IF(C852="","",C852*$N$5)</f>
        <v/>
      </c>
      <c r="H852">
        <f>IF(C852="","",AVERAGE(C849:C852)*$N$5)</f>
        <v/>
      </c>
      <c r="I852">
        <f>IF(C852="","",AVERAGE(C837:C852)*$N$5)</f>
        <v/>
      </c>
      <c r="J852">
        <f>IF(C852="","",J851+$N$6*(C852*$N$5-J851))</f>
        <v/>
      </c>
      <c r="K852">
        <f>IF(B852="","",B852-B851)</f>
        <v/>
      </c>
    </row>
    <row r="853">
      <c r="G853">
        <f>IF(C853="","",C853*$N$5)</f>
        <v/>
      </c>
      <c r="H853">
        <f>IF(C853="","",AVERAGE(C850:C853)*$N$5)</f>
        <v/>
      </c>
      <c r="I853">
        <f>IF(C853="","",AVERAGE(C838:C853)*$N$5)</f>
        <v/>
      </c>
      <c r="J853">
        <f>IF(C853="","",J852+$N$6*(C853*$N$5-J852))</f>
        <v/>
      </c>
      <c r="K853">
        <f>IF(B853="","",B853-B852)</f>
        <v/>
      </c>
    </row>
    <row r="854">
      <c r="G854">
        <f>IF(C854="","",C854*$N$5)</f>
        <v/>
      </c>
      <c r="H854">
        <f>IF(C854="","",AVERAGE(C851:C854)*$N$5)</f>
        <v/>
      </c>
      <c r="I854">
        <f>IF(C854="","",AVERAGE(C839:C854)*$N$5)</f>
        <v/>
      </c>
      <c r="J854">
        <f>IF(C854="","",J853+$N$6*(C854*$N$5-J853))</f>
        <v/>
      </c>
      <c r="K854">
        <f>IF(B854="","",B854-B853)</f>
        <v/>
      </c>
    </row>
    <row r="855">
      <c r="G855">
        <f>IF(C855="","",C855*$N$5)</f>
        <v/>
      </c>
      <c r="H855">
        <f>IF(C855="","",AVERAGE(C852:C855)*$N$5)</f>
        <v/>
      </c>
      <c r="I855">
        <f>IF(C855="","",AVERAGE(C840:C855)*$N$5)</f>
        <v/>
      </c>
      <c r="J855">
        <f>IF(C855="","",J854+$N$6*(C855*$N$5-J854))</f>
        <v/>
      </c>
      <c r="K855">
        <f>IF(B855="","",B855-B854)</f>
        <v/>
      </c>
    </row>
    <row r="856">
      <c r="G856">
        <f>IF(C856="","",C856*$N$5)</f>
        <v/>
      </c>
      <c r="H856">
        <f>IF(C856="","",AVERAGE(C853:C856)*$N$5)</f>
        <v/>
      </c>
      <c r="I856">
        <f>IF(C856="","",AVERAGE(C841:C856)*$N$5)</f>
        <v/>
      </c>
      <c r="J856">
        <f>IF(C856="","",J855+$N$6*(C856*$N$5-J855))</f>
        <v/>
      </c>
      <c r="K856">
        <f>IF(B856="","",B856-B855)</f>
        <v/>
      </c>
    </row>
    <row r="857">
      <c r="G857">
        <f>IF(C857="","",C857*$N$5)</f>
        <v/>
      </c>
      <c r="H857">
        <f>IF(C857="","",AVERAGE(C854:C857)*$N$5)</f>
        <v/>
      </c>
      <c r="I857">
        <f>IF(C857="","",AVERAGE(C842:C857)*$N$5)</f>
        <v/>
      </c>
      <c r="J857">
        <f>IF(C857="","",J856+$N$6*(C857*$N$5-J856))</f>
        <v/>
      </c>
      <c r="K857">
        <f>IF(B857="","",B857-B856)</f>
        <v/>
      </c>
    </row>
    <row r="858">
      <c r="G858">
        <f>IF(C858="","",C858*$N$5)</f>
        <v/>
      </c>
      <c r="H858">
        <f>IF(C858="","",AVERAGE(C855:C858)*$N$5)</f>
        <v/>
      </c>
      <c r="I858">
        <f>IF(C858="","",AVERAGE(C843:C858)*$N$5)</f>
        <v/>
      </c>
      <c r="J858">
        <f>IF(C858="","",J857+$N$6*(C858*$N$5-J857))</f>
        <v/>
      </c>
      <c r="K858">
        <f>IF(B858="","",B858-B857)</f>
        <v/>
      </c>
    </row>
    <row r="859">
      <c r="G859">
        <f>IF(C859="","",C859*$N$5)</f>
        <v/>
      </c>
      <c r="H859">
        <f>IF(C859="","",AVERAGE(C856:C859)*$N$5)</f>
        <v/>
      </c>
      <c r="I859">
        <f>IF(C859="","",AVERAGE(C844:C859)*$N$5)</f>
        <v/>
      </c>
      <c r="J859">
        <f>IF(C859="","",J858+$N$6*(C859*$N$5-J858))</f>
        <v/>
      </c>
      <c r="K859">
        <f>IF(B859="","",B859-B858)</f>
        <v/>
      </c>
    </row>
    <row r="860">
      <c r="G860">
        <f>IF(C860="","",C860*$N$5)</f>
        <v/>
      </c>
      <c r="H860">
        <f>IF(C860="","",AVERAGE(C857:C860)*$N$5)</f>
        <v/>
      </c>
      <c r="I860">
        <f>IF(C860="","",AVERAGE(C845:C860)*$N$5)</f>
        <v/>
      </c>
      <c r="J860">
        <f>IF(C860="","",J859+$N$6*(C860*$N$5-J859))</f>
        <v/>
      </c>
      <c r="K860">
        <f>IF(B860="","",B860-B859)</f>
        <v/>
      </c>
    </row>
    <row r="861">
      <c r="G861">
        <f>IF(C861="","",C861*$N$5)</f>
        <v/>
      </c>
      <c r="H861">
        <f>IF(C861="","",AVERAGE(C858:C861)*$N$5)</f>
        <v/>
      </c>
      <c r="I861">
        <f>IF(C861="","",AVERAGE(C846:C861)*$N$5)</f>
        <v/>
      </c>
      <c r="J861">
        <f>IF(C861="","",J860+$N$6*(C861*$N$5-J860))</f>
        <v/>
      </c>
      <c r="K861">
        <f>IF(B861="","",B861-B860)</f>
        <v/>
      </c>
    </row>
    <row r="862">
      <c r="G862">
        <f>IF(C862="","",C862*$N$5)</f>
        <v/>
      </c>
      <c r="H862">
        <f>IF(C862="","",AVERAGE(C859:C862)*$N$5)</f>
        <v/>
      </c>
      <c r="I862">
        <f>IF(C862="","",AVERAGE(C847:C862)*$N$5)</f>
        <v/>
      </c>
      <c r="J862">
        <f>IF(C862="","",J861+$N$6*(C862*$N$5-J861))</f>
        <v/>
      </c>
      <c r="K862">
        <f>IF(B862="","",B862-B861)</f>
        <v/>
      </c>
    </row>
    <row r="863">
      <c r="G863">
        <f>IF(C863="","",C863*$N$5)</f>
        <v/>
      </c>
      <c r="H863">
        <f>IF(C863="","",AVERAGE(C860:C863)*$N$5)</f>
        <v/>
      </c>
      <c r="I863">
        <f>IF(C863="","",AVERAGE(C848:C863)*$N$5)</f>
        <v/>
      </c>
      <c r="J863">
        <f>IF(C863="","",J862+$N$6*(C863*$N$5-J862))</f>
        <v/>
      </c>
      <c r="K863">
        <f>IF(B863="","",B863-B862)</f>
        <v/>
      </c>
    </row>
    <row r="864">
      <c r="G864">
        <f>IF(C864="","",C864*$N$5)</f>
        <v/>
      </c>
      <c r="H864">
        <f>IF(C864="","",AVERAGE(C861:C864)*$N$5)</f>
        <v/>
      </c>
      <c r="I864">
        <f>IF(C864="","",AVERAGE(C849:C864)*$N$5)</f>
        <v/>
      </c>
      <c r="J864">
        <f>IF(C864="","",J863+$N$6*(C864*$N$5-J863))</f>
        <v/>
      </c>
      <c r="K864">
        <f>IF(B864="","",B864-B863)</f>
        <v/>
      </c>
    </row>
    <row r="865">
      <c r="G865">
        <f>IF(C865="","",C865*$N$5)</f>
        <v/>
      </c>
      <c r="H865">
        <f>IF(C865="","",AVERAGE(C862:C865)*$N$5)</f>
        <v/>
      </c>
      <c r="I865">
        <f>IF(C865="","",AVERAGE(C850:C865)*$N$5)</f>
        <v/>
      </c>
      <c r="J865">
        <f>IF(C865="","",J864+$N$6*(C865*$N$5-J864))</f>
        <v/>
      </c>
      <c r="K865">
        <f>IF(B865="","",B865-B864)</f>
        <v/>
      </c>
    </row>
    <row r="866">
      <c r="G866">
        <f>IF(C866="","",C866*$N$5)</f>
        <v/>
      </c>
      <c r="H866">
        <f>IF(C866="","",AVERAGE(C863:C866)*$N$5)</f>
        <v/>
      </c>
      <c r="I866">
        <f>IF(C866="","",AVERAGE(C851:C866)*$N$5)</f>
        <v/>
      </c>
      <c r="J866">
        <f>IF(C866="","",J865+$N$6*(C866*$N$5-J865))</f>
        <v/>
      </c>
      <c r="K866">
        <f>IF(B866="","",B866-B865)</f>
        <v/>
      </c>
    </row>
    <row r="867">
      <c r="G867">
        <f>IF(C867="","",C867*$N$5)</f>
        <v/>
      </c>
      <c r="H867">
        <f>IF(C867="","",AVERAGE(C864:C867)*$N$5)</f>
        <v/>
      </c>
      <c r="I867">
        <f>IF(C867="","",AVERAGE(C852:C867)*$N$5)</f>
        <v/>
      </c>
      <c r="J867">
        <f>IF(C867="","",J866+$N$6*(C867*$N$5-J866))</f>
        <v/>
      </c>
      <c r="K867">
        <f>IF(B867="","",B867-B866)</f>
        <v/>
      </c>
    </row>
    <row r="868">
      <c r="G868">
        <f>IF(C868="","",C868*$N$5)</f>
        <v/>
      </c>
      <c r="H868">
        <f>IF(C868="","",AVERAGE(C865:C868)*$N$5)</f>
        <v/>
      </c>
      <c r="I868">
        <f>IF(C868="","",AVERAGE(C853:C868)*$N$5)</f>
        <v/>
      </c>
      <c r="J868">
        <f>IF(C868="","",J867+$N$6*(C868*$N$5-J867))</f>
        <v/>
      </c>
      <c r="K868">
        <f>IF(B868="","",B868-B867)</f>
        <v/>
      </c>
    </row>
    <row r="869">
      <c r="G869">
        <f>IF(C869="","",C869*$N$5)</f>
        <v/>
      </c>
      <c r="H869">
        <f>IF(C869="","",AVERAGE(C866:C869)*$N$5)</f>
        <v/>
      </c>
      <c r="I869">
        <f>IF(C869="","",AVERAGE(C854:C869)*$N$5)</f>
        <v/>
      </c>
      <c r="J869">
        <f>IF(C869="","",J868+$N$6*(C869*$N$5-J868))</f>
        <v/>
      </c>
      <c r="K869">
        <f>IF(B869="","",B869-B868)</f>
        <v/>
      </c>
    </row>
    <row r="870">
      <c r="G870">
        <f>IF(C870="","",C870*$N$5)</f>
        <v/>
      </c>
      <c r="H870">
        <f>IF(C870="","",AVERAGE(C867:C870)*$N$5)</f>
        <v/>
      </c>
      <c r="I870">
        <f>IF(C870="","",AVERAGE(C855:C870)*$N$5)</f>
        <v/>
      </c>
      <c r="J870">
        <f>IF(C870="","",J869+$N$6*(C870*$N$5-J869))</f>
        <v/>
      </c>
      <c r="K870">
        <f>IF(B870="","",B870-B869)</f>
        <v/>
      </c>
    </row>
    <row r="871">
      <c r="G871">
        <f>IF(C871="","",C871*$N$5)</f>
        <v/>
      </c>
      <c r="H871">
        <f>IF(C871="","",AVERAGE(C868:C871)*$N$5)</f>
        <v/>
      </c>
      <c r="I871">
        <f>IF(C871="","",AVERAGE(C856:C871)*$N$5)</f>
        <v/>
      </c>
      <c r="J871">
        <f>IF(C871="","",J870+$N$6*(C871*$N$5-J870))</f>
        <v/>
      </c>
      <c r="K871">
        <f>IF(B871="","",B871-B870)</f>
        <v/>
      </c>
    </row>
    <row r="872">
      <c r="G872">
        <f>IF(C872="","",C872*$N$5)</f>
        <v/>
      </c>
      <c r="H872">
        <f>IF(C872="","",AVERAGE(C869:C872)*$N$5)</f>
        <v/>
      </c>
      <c r="I872">
        <f>IF(C872="","",AVERAGE(C857:C872)*$N$5)</f>
        <v/>
      </c>
      <c r="J872">
        <f>IF(C872="","",J871+$N$6*(C872*$N$5-J871))</f>
        <v/>
      </c>
      <c r="K872">
        <f>IF(B872="","",B872-B871)</f>
        <v/>
      </c>
    </row>
    <row r="873">
      <c r="G873">
        <f>IF(C873="","",C873*$N$5)</f>
        <v/>
      </c>
      <c r="H873">
        <f>IF(C873="","",AVERAGE(C870:C873)*$N$5)</f>
        <v/>
      </c>
      <c r="I873">
        <f>IF(C873="","",AVERAGE(C858:C873)*$N$5)</f>
        <v/>
      </c>
      <c r="J873">
        <f>IF(C873="","",J872+$N$6*(C873*$N$5-J872))</f>
        <v/>
      </c>
      <c r="K873">
        <f>IF(B873="","",B873-B872)</f>
        <v/>
      </c>
    </row>
    <row r="874">
      <c r="G874">
        <f>IF(C874="","",C874*$N$5)</f>
        <v/>
      </c>
      <c r="H874">
        <f>IF(C874="","",AVERAGE(C871:C874)*$N$5)</f>
        <v/>
      </c>
      <c r="I874">
        <f>IF(C874="","",AVERAGE(C859:C874)*$N$5)</f>
        <v/>
      </c>
      <c r="J874">
        <f>IF(C874="","",J873+$N$6*(C874*$N$5-J873))</f>
        <v/>
      </c>
      <c r="K874">
        <f>IF(B874="","",B874-B873)</f>
        <v/>
      </c>
    </row>
    <row r="875">
      <c r="G875">
        <f>IF(C875="","",C875*$N$5)</f>
        <v/>
      </c>
      <c r="H875">
        <f>IF(C875="","",AVERAGE(C872:C875)*$N$5)</f>
        <v/>
      </c>
      <c r="I875">
        <f>IF(C875="","",AVERAGE(C860:C875)*$N$5)</f>
        <v/>
      </c>
      <c r="J875">
        <f>IF(C875="","",J874+$N$6*(C875*$N$5-J874))</f>
        <v/>
      </c>
      <c r="K875">
        <f>IF(B875="","",B875-B874)</f>
        <v/>
      </c>
    </row>
    <row r="876">
      <c r="G876">
        <f>IF(C876="","",C876*$N$5)</f>
        <v/>
      </c>
      <c r="H876">
        <f>IF(C876="","",AVERAGE(C873:C876)*$N$5)</f>
        <v/>
      </c>
      <c r="I876">
        <f>IF(C876="","",AVERAGE(C861:C876)*$N$5)</f>
        <v/>
      </c>
      <c r="J876">
        <f>IF(C876="","",J875+$N$6*(C876*$N$5-J875))</f>
        <v/>
      </c>
      <c r="K876">
        <f>IF(B876="","",B876-B875)</f>
        <v/>
      </c>
    </row>
    <row r="877">
      <c r="G877">
        <f>IF(C877="","",C877*$N$5)</f>
        <v/>
      </c>
      <c r="H877">
        <f>IF(C877="","",AVERAGE(C874:C877)*$N$5)</f>
        <v/>
      </c>
      <c r="I877">
        <f>IF(C877="","",AVERAGE(C862:C877)*$N$5)</f>
        <v/>
      </c>
      <c r="J877">
        <f>IF(C877="","",J876+$N$6*(C877*$N$5-J876))</f>
        <v/>
      </c>
      <c r="K877">
        <f>IF(B877="","",B877-B876)</f>
        <v/>
      </c>
    </row>
    <row r="878">
      <c r="G878">
        <f>IF(C878="","",C878*$N$5)</f>
        <v/>
      </c>
      <c r="H878">
        <f>IF(C878="","",AVERAGE(C875:C878)*$N$5)</f>
        <v/>
      </c>
      <c r="I878">
        <f>IF(C878="","",AVERAGE(C863:C878)*$N$5)</f>
        <v/>
      </c>
      <c r="J878">
        <f>IF(C878="","",J877+$N$6*(C878*$N$5-J877))</f>
        <v/>
      </c>
      <c r="K878">
        <f>IF(B878="","",B878-B877)</f>
        <v/>
      </c>
    </row>
    <row r="879">
      <c r="G879">
        <f>IF(C879="","",C879*$N$5)</f>
        <v/>
      </c>
      <c r="H879">
        <f>IF(C879="","",AVERAGE(C876:C879)*$N$5)</f>
        <v/>
      </c>
      <c r="I879">
        <f>IF(C879="","",AVERAGE(C864:C879)*$N$5)</f>
        <v/>
      </c>
      <c r="J879">
        <f>IF(C879="","",J878+$N$6*(C879*$N$5-J878))</f>
        <v/>
      </c>
      <c r="K879">
        <f>IF(B879="","",B879-B878)</f>
        <v/>
      </c>
    </row>
    <row r="880">
      <c r="G880">
        <f>IF(C880="","",C880*$N$5)</f>
        <v/>
      </c>
      <c r="H880">
        <f>IF(C880="","",AVERAGE(C877:C880)*$N$5)</f>
        <v/>
      </c>
      <c r="I880">
        <f>IF(C880="","",AVERAGE(C865:C880)*$N$5)</f>
        <v/>
      </c>
      <c r="J880">
        <f>IF(C880="","",J879+$N$6*(C880*$N$5-J879))</f>
        <v/>
      </c>
      <c r="K880">
        <f>IF(B880="","",B880-B879)</f>
        <v/>
      </c>
    </row>
    <row r="881">
      <c r="G881">
        <f>IF(C881="","",C881*$N$5)</f>
        <v/>
      </c>
      <c r="H881">
        <f>IF(C881="","",AVERAGE(C878:C881)*$N$5)</f>
        <v/>
      </c>
      <c r="I881">
        <f>IF(C881="","",AVERAGE(C866:C881)*$N$5)</f>
        <v/>
      </c>
      <c r="J881">
        <f>IF(C881="","",J880+$N$6*(C881*$N$5-J880))</f>
        <v/>
      </c>
      <c r="K881">
        <f>IF(B881="","",B881-B880)</f>
        <v/>
      </c>
    </row>
    <row r="882">
      <c r="G882">
        <f>IF(C882="","",C882*$N$5)</f>
        <v/>
      </c>
      <c r="H882">
        <f>IF(C882="","",AVERAGE(C879:C882)*$N$5)</f>
        <v/>
      </c>
      <c r="I882">
        <f>IF(C882="","",AVERAGE(C867:C882)*$N$5)</f>
        <v/>
      </c>
      <c r="J882">
        <f>IF(C882="","",J881+$N$6*(C882*$N$5-J881))</f>
        <v/>
      </c>
      <c r="K882">
        <f>IF(B882="","",B882-B881)</f>
        <v/>
      </c>
    </row>
    <row r="883">
      <c r="G883">
        <f>IF(C883="","",C883*$N$5)</f>
        <v/>
      </c>
      <c r="H883">
        <f>IF(C883="","",AVERAGE(C880:C883)*$N$5)</f>
        <v/>
      </c>
      <c r="I883">
        <f>IF(C883="","",AVERAGE(C868:C883)*$N$5)</f>
        <v/>
      </c>
      <c r="J883">
        <f>IF(C883="","",J882+$N$6*(C883*$N$5-J882))</f>
        <v/>
      </c>
      <c r="K883">
        <f>IF(B883="","",B883-B882)</f>
        <v/>
      </c>
    </row>
    <row r="884">
      <c r="G884">
        <f>IF(C884="","",C884*$N$5)</f>
        <v/>
      </c>
      <c r="H884">
        <f>IF(C884="","",AVERAGE(C881:C884)*$N$5)</f>
        <v/>
      </c>
      <c r="I884">
        <f>IF(C884="","",AVERAGE(C869:C884)*$N$5)</f>
        <v/>
      </c>
      <c r="J884">
        <f>IF(C884="","",J883+$N$6*(C884*$N$5-J883))</f>
        <v/>
      </c>
      <c r="K884">
        <f>IF(B884="","",B884-B883)</f>
        <v/>
      </c>
    </row>
    <row r="885">
      <c r="G885">
        <f>IF(C885="","",C885*$N$5)</f>
        <v/>
      </c>
      <c r="H885">
        <f>IF(C885="","",AVERAGE(C882:C885)*$N$5)</f>
        <v/>
      </c>
      <c r="I885">
        <f>IF(C885="","",AVERAGE(C870:C885)*$N$5)</f>
        <v/>
      </c>
      <c r="J885">
        <f>IF(C885="","",J884+$N$6*(C885*$N$5-J884))</f>
        <v/>
      </c>
      <c r="K885">
        <f>IF(B885="","",B885-B884)</f>
        <v/>
      </c>
    </row>
    <row r="886">
      <c r="G886">
        <f>IF(C886="","",C886*$N$5)</f>
        <v/>
      </c>
      <c r="H886">
        <f>IF(C886="","",AVERAGE(C883:C886)*$N$5)</f>
        <v/>
      </c>
      <c r="I886">
        <f>IF(C886="","",AVERAGE(C871:C886)*$N$5)</f>
        <v/>
      </c>
      <c r="J886">
        <f>IF(C886="","",J885+$N$6*(C886*$N$5-J885))</f>
        <v/>
      </c>
      <c r="K886">
        <f>IF(B886="","",B886-B885)</f>
        <v/>
      </c>
    </row>
    <row r="887">
      <c r="G887">
        <f>IF(C887="","",C887*$N$5)</f>
        <v/>
      </c>
      <c r="H887">
        <f>IF(C887="","",AVERAGE(C884:C887)*$N$5)</f>
        <v/>
      </c>
      <c r="I887">
        <f>IF(C887="","",AVERAGE(C872:C887)*$N$5)</f>
        <v/>
      </c>
      <c r="J887">
        <f>IF(C887="","",J886+$N$6*(C887*$N$5-J886))</f>
        <v/>
      </c>
      <c r="K887">
        <f>IF(B887="","",B887-B886)</f>
        <v/>
      </c>
    </row>
    <row r="888">
      <c r="G888">
        <f>IF(C888="","",C888*$N$5)</f>
        <v/>
      </c>
      <c r="H888">
        <f>IF(C888="","",AVERAGE(C885:C888)*$N$5)</f>
        <v/>
      </c>
      <c r="I888">
        <f>IF(C888="","",AVERAGE(C873:C888)*$N$5)</f>
        <v/>
      </c>
      <c r="J888">
        <f>IF(C888="","",J887+$N$6*(C888*$N$5-J887))</f>
        <v/>
      </c>
      <c r="K888">
        <f>IF(B888="","",B888-B887)</f>
        <v/>
      </c>
    </row>
    <row r="889">
      <c r="G889">
        <f>IF(C889="","",C889*$N$5)</f>
        <v/>
      </c>
      <c r="H889">
        <f>IF(C889="","",AVERAGE(C886:C889)*$N$5)</f>
        <v/>
      </c>
      <c r="I889">
        <f>IF(C889="","",AVERAGE(C874:C889)*$N$5)</f>
        <v/>
      </c>
      <c r="J889">
        <f>IF(C889="","",J888+$N$6*(C889*$N$5-J888))</f>
        <v/>
      </c>
      <c r="K889">
        <f>IF(B889="","",B889-B888)</f>
        <v/>
      </c>
    </row>
    <row r="890">
      <c r="G890">
        <f>IF(C890="","",C890*$N$5)</f>
        <v/>
      </c>
      <c r="H890">
        <f>IF(C890="","",AVERAGE(C887:C890)*$N$5)</f>
        <v/>
      </c>
      <c r="I890">
        <f>IF(C890="","",AVERAGE(C875:C890)*$N$5)</f>
        <v/>
      </c>
      <c r="J890">
        <f>IF(C890="","",J889+$N$6*(C890*$N$5-J889))</f>
        <v/>
      </c>
      <c r="K890">
        <f>IF(B890="","",B890-B889)</f>
        <v/>
      </c>
    </row>
    <row r="891">
      <c r="G891">
        <f>IF(C891="","",C891*$N$5)</f>
        <v/>
      </c>
      <c r="H891">
        <f>IF(C891="","",AVERAGE(C888:C891)*$N$5)</f>
        <v/>
      </c>
      <c r="I891">
        <f>IF(C891="","",AVERAGE(C876:C891)*$N$5)</f>
        <v/>
      </c>
      <c r="J891">
        <f>IF(C891="","",J890+$N$6*(C891*$N$5-J890))</f>
        <v/>
      </c>
      <c r="K891">
        <f>IF(B891="","",B891-B890)</f>
        <v/>
      </c>
    </row>
    <row r="892">
      <c r="G892">
        <f>IF(C892="","",C892*$N$5)</f>
        <v/>
      </c>
      <c r="H892">
        <f>IF(C892="","",AVERAGE(C889:C892)*$N$5)</f>
        <v/>
      </c>
      <c r="I892">
        <f>IF(C892="","",AVERAGE(C877:C892)*$N$5)</f>
        <v/>
      </c>
      <c r="J892">
        <f>IF(C892="","",J891+$N$6*(C892*$N$5-J891))</f>
        <v/>
      </c>
      <c r="K892">
        <f>IF(B892="","",B892-B891)</f>
        <v/>
      </c>
    </row>
    <row r="893">
      <c r="G893">
        <f>IF(C893="","",C893*$N$5)</f>
        <v/>
      </c>
      <c r="H893">
        <f>IF(C893="","",AVERAGE(C890:C893)*$N$5)</f>
        <v/>
      </c>
      <c r="I893">
        <f>IF(C893="","",AVERAGE(C878:C893)*$N$5)</f>
        <v/>
      </c>
      <c r="J893">
        <f>IF(C893="","",J892+$N$6*(C893*$N$5-J892))</f>
        <v/>
      </c>
      <c r="K893">
        <f>IF(B893="","",B893-B892)</f>
        <v/>
      </c>
    </row>
    <row r="894">
      <c r="G894">
        <f>IF(C894="","",C894*$N$5)</f>
        <v/>
      </c>
      <c r="H894">
        <f>IF(C894="","",AVERAGE(C891:C894)*$N$5)</f>
        <v/>
      </c>
      <c r="I894">
        <f>IF(C894="","",AVERAGE(C879:C894)*$N$5)</f>
        <v/>
      </c>
      <c r="J894">
        <f>IF(C894="","",J893+$N$6*(C894*$N$5-J893))</f>
        <v/>
      </c>
      <c r="K894">
        <f>IF(B894="","",B894-B893)</f>
        <v/>
      </c>
    </row>
    <row r="895">
      <c r="G895">
        <f>IF(C895="","",C895*$N$5)</f>
        <v/>
      </c>
      <c r="H895">
        <f>IF(C895="","",AVERAGE(C892:C895)*$N$5)</f>
        <v/>
      </c>
      <c r="I895">
        <f>IF(C895="","",AVERAGE(C880:C895)*$N$5)</f>
        <v/>
      </c>
      <c r="J895">
        <f>IF(C895="","",J894+$N$6*(C895*$N$5-J894))</f>
        <v/>
      </c>
      <c r="K895">
        <f>IF(B895="","",B895-B894)</f>
        <v/>
      </c>
    </row>
    <row r="896">
      <c r="G896">
        <f>IF(C896="","",C896*$N$5)</f>
        <v/>
      </c>
      <c r="H896">
        <f>IF(C896="","",AVERAGE(C893:C896)*$N$5)</f>
        <v/>
      </c>
      <c r="I896">
        <f>IF(C896="","",AVERAGE(C881:C896)*$N$5)</f>
        <v/>
      </c>
      <c r="J896">
        <f>IF(C896="","",J895+$N$6*(C896*$N$5-J895))</f>
        <v/>
      </c>
      <c r="K896">
        <f>IF(B896="","",B896-B895)</f>
        <v/>
      </c>
    </row>
    <row r="897">
      <c r="G897">
        <f>IF(C897="","",C897*$N$5)</f>
        <v/>
      </c>
      <c r="H897">
        <f>IF(C897="","",AVERAGE(C894:C897)*$N$5)</f>
        <v/>
      </c>
      <c r="I897">
        <f>IF(C897="","",AVERAGE(C882:C897)*$N$5)</f>
        <v/>
      </c>
      <c r="J897">
        <f>IF(C897="","",J896+$N$6*(C897*$N$5-J896))</f>
        <v/>
      </c>
      <c r="K897">
        <f>IF(B897="","",B897-B896)</f>
        <v/>
      </c>
    </row>
    <row r="898">
      <c r="G898">
        <f>IF(C898="","",C898*$N$5)</f>
        <v/>
      </c>
      <c r="H898">
        <f>IF(C898="","",AVERAGE(C895:C898)*$N$5)</f>
        <v/>
      </c>
      <c r="I898">
        <f>IF(C898="","",AVERAGE(C883:C898)*$N$5)</f>
        <v/>
      </c>
      <c r="J898">
        <f>IF(C898="","",J897+$N$6*(C898*$N$5-J897))</f>
        <v/>
      </c>
      <c r="K898">
        <f>IF(B898="","",B898-B897)</f>
        <v/>
      </c>
    </row>
    <row r="899">
      <c r="G899">
        <f>IF(C899="","",C899*$N$5)</f>
        <v/>
      </c>
      <c r="H899">
        <f>IF(C899="","",AVERAGE(C896:C899)*$N$5)</f>
        <v/>
      </c>
      <c r="I899">
        <f>IF(C899="","",AVERAGE(C884:C899)*$N$5)</f>
        <v/>
      </c>
      <c r="J899">
        <f>IF(C899="","",J898+$N$6*(C899*$N$5-J898))</f>
        <v/>
      </c>
      <c r="K899">
        <f>IF(B899="","",B899-B898)</f>
        <v/>
      </c>
    </row>
    <row r="900">
      <c r="G900">
        <f>IF(C900="","",C900*$N$5)</f>
        <v/>
      </c>
      <c r="H900">
        <f>IF(C900="","",AVERAGE(C897:C900)*$N$5)</f>
        <v/>
      </c>
      <c r="I900">
        <f>IF(C900="","",AVERAGE(C885:C900)*$N$5)</f>
        <v/>
      </c>
      <c r="J900">
        <f>IF(C900="","",J899+$N$6*(C900*$N$5-J899))</f>
        <v/>
      </c>
      <c r="K900">
        <f>IF(B900="","",B900-B899)</f>
        <v/>
      </c>
    </row>
    <row r="901">
      <c r="G901">
        <f>IF(C901="","",C901*$N$5)</f>
        <v/>
      </c>
      <c r="H901">
        <f>IF(C901="","",AVERAGE(C898:C901)*$N$5)</f>
        <v/>
      </c>
      <c r="I901">
        <f>IF(C901="","",AVERAGE(C886:C901)*$N$5)</f>
        <v/>
      </c>
      <c r="J901">
        <f>IF(C901="","",J900+$N$6*(C901*$N$5-J900))</f>
        <v/>
      </c>
      <c r="K901">
        <f>IF(B901="","",B901-B900)</f>
        <v/>
      </c>
    </row>
    <row r="902">
      <c r="G902">
        <f>IF(C902="","",C902*$N$5)</f>
        <v/>
      </c>
      <c r="H902">
        <f>IF(C902="","",AVERAGE(C899:C902)*$N$5)</f>
        <v/>
      </c>
      <c r="I902">
        <f>IF(C902="","",AVERAGE(C887:C902)*$N$5)</f>
        <v/>
      </c>
      <c r="J902">
        <f>IF(C902="","",J901+$N$6*(C902*$N$5-J901))</f>
        <v/>
      </c>
      <c r="K902">
        <f>IF(B902="","",B902-B901)</f>
        <v/>
      </c>
    </row>
    <row r="903">
      <c r="G903">
        <f>IF(C903="","",C903*$N$5)</f>
        <v/>
      </c>
      <c r="H903">
        <f>IF(C903="","",AVERAGE(C900:C903)*$N$5)</f>
        <v/>
      </c>
      <c r="I903">
        <f>IF(C903="","",AVERAGE(C888:C903)*$N$5)</f>
        <v/>
      </c>
      <c r="J903">
        <f>IF(C903="","",J902+$N$6*(C903*$N$5-J902))</f>
        <v/>
      </c>
      <c r="K903">
        <f>IF(B903="","",B903-B902)</f>
        <v/>
      </c>
    </row>
    <row r="904">
      <c r="G904">
        <f>IF(C904="","",C904*$N$5)</f>
        <v/>
      </c>
      <c r="H904">
        <f>IF(C904="","",AVERAGE(C901:C904)*$N$5)</f>
        <v/>
      </c>
      <c r="I904">
        <f>IF(C904="","",AVERAGE(C889:C904)*$N$5)</f>
        <v/>
      </c>
      <c r="J904">
        <f>IF(C904="","",J903+$N$6*(C904*$N$5-J903))</f>
        <v/>
      </c>
      <c r="K904">
        <f>IF(B904="","",B904-B903)</f>
        <v/>
      </c>
    </row>
    <row r="905">
      <c r="G905">
        <f>IF(C905="","",C905*$N$5)</f>
        <v/>
      </c>
      <c r="H905">
        <f>IF(C905="","",AVERAGE(C902:C905)*$N$5)</f>
        <v/>
      </c>
      <c r="I905">
        <f>IF(C905="","",AVERAGE(C890:C905)*$N$5)</f>
        <v/>
      </c>
      <c r="J905">
        <f>IF(C905="","",J904+$N$6*(C905*$N$5-J904))</f>
        <v/>
      </c>
      <c r="K905">
        <f>IF(B905="","",B905-B904)</f>
        <v/>
      </c>
    </row>
    <row r="906">
      <c r="G906">
        <f>IF(C906="","",C906*$N$5)</f>
        <v/>
      </c>
      <c r="H906">
        <f>IF(C906="","",AVERAGE(C903:C906)*$N$5)</f>
        <v/>
      </c>
      <c r="I906">
        <f>IF(C906="","",AVERAGE(C891:C906)*$N$5)</f>
        <v/>
      </c>
      <c r="J906">
        <f>IF(C906="","",J905+$N$6*(C906*$N$5-J905))</f>
        <v/>
      </c>
      <c r="K906">
        <f>IF(B906="","",B906-B905)</f>
        <v/>
      </c>
    </row>
    <row r="907">
      <c r="G907">
        <f>IF(C907="","",C907*$N$5)</f>
        <v/>
      </c>
      <c r="H907">
        <f>IF(C907="","",AVERAGE(C904:C907)*$N$5)</f>
        <v/>
      </c>
      <c r="I907">
        <f>IF(C907="","",AVERAGE(C892:C907)*$N$5)</f>
        <v/>
      </c>
      <c r="J907">
        <f>IF(C907="","",J906+$N$6*(C907*$N$5-J906))</f>
        <v/>
      </c>
      <c r="K907">
        <f>IF(B907="","",B907-B906)</f>
        <v/>
      </c>
    </row>
    <row r="908">
      <c r="G908">
        <f>IF(C908="","",C908*$N$5)</f>
        <v/>
      </c>
      <c r="H908">
        <f>IF(C908="","",AVERAGE(C905:C908)*$N$5)</f>
        <v/>
      </c>
      <c r="I908">
        <f>IF(C908="","",AVERAGE(C893:C908)*$N$5)</f>
        <v/>
      </c>
      <c r="J908">
        <f>IF(C908="","",J907+$N$6*(C908*$N$5-J907))</f>
        <v/>
      </c>
      <c r="K908">
        <f>IF(B908="","",B908-B907)</f>
        <v/>
      </c>
    </row>
    <row r="909">
      <c r="G909">
        <f>IF(C909="","",C909*$N$5)</f>
        <v/>
      </c>
      <c r="H909">
        <f>IF(C909="","",AVERAGE(C906:C909)*$N$5)</f>
        <v/>
      </c>
      <c r="I909">
        <f>IF(C909="","",AVERAGE(C894:C909)*$N$5)</f>
        <v/>
      </c>
      <c r="J909">
        <f>IF(C909="","",J908+$N$6*(C909*$N$5-J908))</f>
        <v/>
      </c>
      <c r="K909">
        <f>IF(B909="","",B909-B908)</f>
        <v/>
      </c>
    </row>
    <row r="910">
      <c r="G910">
        <f>IF(C910="","",C910*$N$5)</f>
        <v/>
      </c>
      <c r="H910">
        <f>IF(C910="","",AVERAGE(C907:C910)*$N$5)</f>
        <v/>
      </c>
      <c r="I910">
        <f>IF(C910="","",AVERAGE(C895:C910)*$N$5)</f>
        <v/>
      </c>
      <c r="J910">
        <f>IF(C910="","",J909+$N$6*(C910*$N$5-J909))</f>
        <v/>
      </c>
      <c r="K910">
        <f>IF(B910="","",B910-B909)</f>
        <v/>
      </c>
    </row>
    <row r="911">
      <c r="G911">
        <f>IF(C911="","",C911*$N$5)</f>
        <v/>
      </c>
      <c r="H911">
        <f>IF(C911="","",AVERAGE(C908:C911)*$N$5)</f>
        <v/>
      </c>
      <c r="I911">
        <f>IF(C911="","",AVERAGE(C896:C911)*$N$5)</f>
        <v/>
      </c>
      <c r="J911">
        <f>IF(C911="","",J910+$N$6*(C911*$N$5-J910))</f>
        <v/>
      </c>
      <c r="K911">
        <f>IF(B911="","",B911-B910)</f>
        <v/>
      </c>
    </row>
    <row r="912">
      <c r="G912">
        <f>IF(C912="","",C912*$N$5)</f>
        <v/>
      </c>
      <c r="H912">
        <f>IF(C912="","",AVERAGE(C909:C912)*$N$5)</f>
        <v/>
      </c>
      <c r="I912">
        <f>IF(C912="","",AVERAGE(C897:C912)*$N$5)</f>
        <v/>
      </c>
      <c r="J912">
        <f>IF(C912="","",J911+$N$6*(C912*$N$5-J911))</f>
        <v/>
      </c>
      <c r="K912">
        <f>IF(B912="","",B912-B911)</f>
        <v/>
      </c>
    </row>
    <row r="913">
      <c r="G913">
        <f>IF(C913="","",C913*$N$5)</f>
        <v/>
      </c>
      <c r="H913">
        <f>IF(C913="","",AVERAGE(C910:C913)*$N$5)</f>
        <v/>
      </c>
      <c r="I913">
        <f>IF(C913="","",AVERAGE(C898:C913)*$N$5)</f>
        <v/>
      </c>
      <c r="J913">
        <f>IF(C913="","",J912+$N$6*(C913*$N$5-J912))</f>
        <v/>
      </c>
      <c r="K913">
        <f>IF(B913="","",B913-B912)</f>
        <v/>
      </c>
    </row>
    <row r="914">
      <c r="G914">
        <f>IF(C914="","",C914*$N$5)</f>
        <v/>
      </c>
      <c r="H914">
        <f>IF(C914="","",AVERAGE(C911:C914)*$N$5)</f>
        <v/>
      </c>
      <c r="I914">
        <f>IF(C914="","",AVERAGE(C899:C914)*$N$5)</f>
        <v/>
      </c>
      <c r="J914">
        <f>IF(C914="","",J913+$N$6*(C914*$N$5-J913))</f>
        <v/>
      </c>
      <c r="K914">
        <f>IF(B914="","",B914-B913)</f>
        <v/>
      </c>
    </row>
    <row r="915">
      <c r="G915">
        <f>IF(C915="","",C915*$N$5)</f>
        <v/>
      </c>
      <c r="H915">
        <f>IF(C915="","",AVERAGE(C912:C915)*$N$5)</f>
        <v/>
      </c>
      <c r="I915">
        <f>IF(C915="","",AVERAGE(C900:C915)*$N$5)</f>
        <v/>
      </c>
      <c r="J915">
        <f>IF(C915="","",J914+$N$6*(C915*$N$5-J914))</f>
        <v/>
      </c>
      <c r="K915">
        <f>IF(B915="","",B915-B914)</f>
        <v/>
      </c>
    </row>
    <row r="916">
      <c r="G916">
        <f>IF(C916="","",C916*$N$5)</f>
        <v/>
      </c>
      <c r="H916">
        <f>IF(C916="","",AVERAGE(C913:C916)*$N$5)</f>
        <v/>
      </c>
      <c r="I916">
        <f>IF(C916="","",AVERAGE(C901:C916)*$N$5)</f>
        <v/>
      </c>
      <c r="J916">
        <f>IF(C916="","",J915+$N$6*(C916*$N$5-J915))</f>
        <v/>
      </c>
      <c r="K916">
        <f>IF(B916="","",B916-B915)</f>
        <v/>
      </c>
    </row>
    <row r="917">
      <c r="G917">
        <f>IF(C917="","",C917*$N$5)</f>
        <v/>
      </c>
      <c r="H917">
        <f>IF(C917="","",AVERAGE(C914:C917)*$N$5)</f>
        <v/>
      </c>
      <c r="I917">
        <f>IF(C917="","",AVERAGE(C902:C917)*$N$5)</f>
        <v/>
      </c>
      <c r="J917">
        <f>IF(C917="","",J916+$N$6*(C917*$N$5-J916))</f>
        <v/>
      </c>
      <c r="K917">
        <f>IF(B917="","",B917-B916)</f>
        <v/>
      </c>
    </row>
    <row r="918">
      <c r="G918">
        <f>IF(C918="","",C918*$N$5)</f>
        <v/>
      </c>
      <c r="H918">
        <f>IF(C918="","",AVERAGE(C915:C918)*$N$5)</f>
        <v/>
      </c>
      <c r="I918">
        <f>IF(C918="","",AVERAGE(C903:C918)*$N$5)</f>
        <v/>
      </c>
      <c r="J918">
        <f>IF(C918="","",J917+$N$6*(C918*$N$5-J917))</f>
        <v/>
      </c>
      <c r="K918">
        <f>IF(B918="","",B918-B917)</f>
        <v/>
      </c>
    </row>
    <row r="919">
      <c r="G919">
        <f>IF(C919="","",C919*$N$5)</f>
        <v/>
      </c>
      <c r="H919">
        <f>IF(C919="","",AVERAGE(C916:C919)*$N$5)</f>
        <v/>
      </c>
      <c r="I919">
        <f>IF(C919="","",AVERAGE(C904:C919)*$N$5)</f>
        <v/>
      </c>
      <c r="J919">
        <f>IF(C919="","",J918+$N$6*(C919*$N$5-J918))</f>
        <v/>
      </c>
      <c r="K919">
        <f>IF(B919="","",B919-B918)</f>
        <v/>
      </c>
    </row>
    <row r="920">
      <c r="G920">
        <f>IF(C920="","",C920*$N$5)</f>
        <v/>
      </c>
      <c r="H920">
        <f>IF(C920="","",AVERAGE(C917:C920)*$N$5)</f>
        <v/>
      </c>
      <c r="I920">
        <f>IF(C920="","",AVERAGE(C905:C920)*$N$5)</f>
        <v/>
      </c>
      <c r="J920">
        <f>IF(C920="","",J919+$N$6*(C920*$N$5-J919))</f>
        <v/>
      </c>
      <c r="K920">
        <f>IF(B920="","",B920-B919)</f>
        <v/>
      </c>
    </row>
    <row r="921">
      <c r="G921">
        <f>IF(C921="","",C921*$N$5)</f>
        <v/>
      </c>
      <c r="H921">
        <f>IF(C921="","",AVERAGE(C918:C921)*$N$5)</f>
        <v/>
      </c>
      <c r="I921">
        <f>IF(C921="","",AVERAGE(C906:C921)*$N$5)</f>
        <v/>
      </c>
      <c r="J921">
        <f>IF(C921="","",J920+$N$6*(C921*$N$5-J920))</f>
        <v/>
      </c>
      <c r="K921">
        <f>IF(B921="","",B921-B920)</f>
        <v/>
      </c>
    </row>
    <row r="922">
      <c r="G922">
        <f>IF(C922="","",C922*$N$5)</f>
        <v/>
      </c>
      <c r="H922">
        <f>IF(C922="","",AVERAGE(C919:C922)*$N$5)</f>
        <v/>
      </c>
      <c r="I922">
        <f>IF(C922="","",AVERAGE(C907:C922)*$N$5)</f>
        <v/>
      </c>
      <c r="J922">
        <f>IF(C922="","",J921+$N$6*(C922*$N$5-J921))</f>
        <v/>
      </c>
      <c r="K922">
        <f>IF(B922="","",B922-B921)</f>
        <v/>
      </c>
    </row>
    <row r="923">
      <c r="G923">
        <f>IF(C923="","",C923*$N$5)</f>
        <v/>
      </c>
      <c r="H923">
        <f>IF(C923="","",AVERAGE(C920:C923)*$N$5)</f>
        <v/>
      </c>
      <c r="I923">
        <f>IF(C923="","",AVERAGE(C908:C923)*$N$5)</f>
        <v/>
      </c>
      <c r="J923">
        <f>IF(C923="","",J922+$N$6*(C923*$N$5-J922))</f>
        <v/>
      </c>
      <c r="K923">
        <f>IF(B923="","",B923-B922)</f>
        <v/>
      </c>
    </row>
    <row r="924">
      <c r="G924">
        <f>IF(C924="","",C924*$N$5)</f>
        <v/>
      </c>
      <c r="H924">
        <f>IF(C924="","",AVERAGE(C921:C924)*$N$5)</f>
        <v/>
      </c>
      <c r="I924">
        <f>IF(C924="","",AVERAGE(C909:C924)*$N$5)</f>
        <v/>
      </c>
      <c r="J924">
        <f>IF(C924="","",J923+$N$6*(C924*$N$5-J923))</f>
        <v/>
      </c>
      <c r="K924">
        <f>IF(B924="","",B924-B923)</f>
        <v/>
      </c>
    </row>
    <row r="925">
      <c r="G925">
        <f>IF(C925="","",C925*$N$5)</f>
        <v/>
      </c>
      <c r="H925">
        <f>IF(C925="","",AVERAGE(C922:C925)*$N$5)</f>
        <v/>
      </c>
      <c r="I925">
        <f>IF(C925="","",AVERAGE(C910:C925)*$N$5)</f>
        <v/>
      </c>
      <c r="J925">
        <f>IF(C925="","",J924+$N$6*(C925*$N$5-J924))</f>
        <v/>
      </c>
      <c r="K925">
        <f>IF(B925="","",B925-B924)</f>
        <v/>
      </c>
    </row>
    <row r="926">
      <c r="G926">
        <f>IF(C926="","",C926*$N$5)</f>
        <v/>
      </c>
      <c r="H926">
        <f>IF(C926="","",AVERAGE(C923:C926)*$N$5)</f>
        <v/>
      </c>
      <c r="I926">
        <f>IF(C926="","",AVERAGE(C911:C926)*$N$5)</f>
        <v/>
      </c>
      <c r="J926">
        <f>IF(C926="","",J925+$N$6*(C926*$N$5-J925))</f>
        <v/>
      </c>
      <c r="K926">
        <f>IF(B926="","",B926-B925)</f>
        <v/>
      </c>
    </row>
    <row r="927">
      <c r="G927">
        <f>IF(C927="","",C927*$N$5)</f>
        <v/>
      </c>
      <c r="H927">
        <f>IF(C927="","",AVERAGE(C924:C927)*$N$5)</f>
        <v/>
      </c>
      <c r="I927">
        <f>IF(C927="","",AVERAGE(C912:C927)*$N$5)</f>
        <v/>
      </c>
      <c r="J927">
        <f>IF(C927="","",J926+$N$6*(C927*$N$5-J926))</f>
        <v/>
      </c>
      <c r="K927">
        <f>IF(B927="","",B927-B926)</f>
        <v/>
      </c>
    </row>
    <row r="928">
      <c r="G928">
        <f>IF(C928="","",C928*$N$5)</f>
        <v/>
      </c>
      <c r="H928">
        <f>IF(C928="","",AVERAGE(C925:C928)*$N$5)</f>
        <v/>
      </c>
      <c r="I928">
        <f>IF(C928="","",AVERAGE(C913:C928)*$N$5)</f>
        <v/>
      </c>
      <c r="J928">
        <f>IF(C928="","",J927+$N$6*(C928*$N$5-J927))</f>
        <v/>
      </c>
      <c r="K928">
        <f>IF(B928="","",B928-B927)</f>
        <v/>
      </c>
    </row>
    <row r="929">
      <c r="G929">
        <f>IF(C929="","",C929*$N$5)</f>
        <v/>
      </c>
      <c r="H929">
        <f>IF(C929="","",AVERAGE(C926:C929)*$N$5)</f>
        <v/>
      </c>
      <c r="I929">
        <f>IF(C929="","",AVERAGE(C914:C929)*$N$5)</f>
        <v/>
      </c>
      <c r="J929">
        <f>IF(C929="","",J928+$N$6*(C929*$N$5-J928))</f>
        <v/>
      </c>
      <c r="K929">
        <f>IF(B929="","",B929-B928)</f>
        <v/>
      </c>
    </row>
    <row r="930">
      <c r="G930">
        <f>IF(C930="","",C930*$N$5)</f>
        <v/>
      </c>
      <c r="H930">
        <f>IF(C930="","",AVERAGE(C927:C930)*$N$5)</f>
        <v/>
      </c>
      <c r="I930">
        <f>IF(C930="","",AVERAGE(C915:C930)*$N$5)</f>
        <v/>
      </c>
      <c r="J930">
        <f>IF(C930="","",J929+$N$6*(C930*$N$5-J929))</f>
        <v/>
      </c>
      <c r="K930">
        <f>IF(B930="","",B930-B929)</f>
        <v/>
      </c>
    </row>
    <row r="931">
      <c r="G931">
        <f>IF(C931="","",C931*$N$5)</f>
        <v/>
      </c>
      <c r="H931">
        <f>IF(C931="","",AVERAGE(C928:C931)*$N$5)</f>
        <v/>
      </c>
      <c r="I931">
        <f>IF(C931="","",AVERAGE(C916:C931)*$N$5)</f>
        <v/>
      </c>
      <c r="J931">
        <f>IF(C931="","",J930+$N$6*(C931*$N$5-J930))</f>
        <v/>
      </c>
      <c r="K931">
        <f>IF(B931="","",B931-B930)</f>
        <v/>
      </c>
    </row>
    <row r="932">
      <c r="G932">
        <f>IF(C932="","",C932*$N$5)</f>
        <v/>
      </c>
      <c r="H932">
        <f>IF(C932="","",AVERAGE(C929:C932)*$N$5)</f>
        <v/>
      </c>
      <c r="I932">
        <f>IF(C932="","",AVERAGE(C917:C932)*$N$5)</f>
        <v/>
      </c>
      <c r="J932">
        <f>IF(C932="","",J931+$N$6*(C932*$N$5-J931))</f>
        <v/>
      </c>
      <c r="K932">
        <f>IF(B932="","",B932-B931)</f>
        <v/>
      </c>
    </row>
    <row r="933">
      <c r="G933">
        <f>IF(C933="","",C933*$N$5)</f>
        <v/>
      </c>
      <c r="H933">
        <f>IF(C933="","",AVERAGE(C930:C933)*$N$5)</f>
        <v/>
      </c>
      <c r="I933">
        <f>IF(C933="","",AVERAGE(C918:C933)*$N$5)</f>
        <v/>
      </c>
      <c r="J933">
        <f>IF(C933="","",J932+$N$6*(C933*$N$5-J932))</f>
        <v/>
      </c>
      <c r="K933">
        <f>IF(B933="","",B933-B932)</f>
        <v/>
      </c>
    </row>
    <row r="934">
      <c r="G934">
        <f>IF(C934="","",C934*$N$5)</f>
        <v/>
      </c>
      <c r="H934">
        <f>IF(C934="","",AVERAGE(C931:C934)*$N$5)</f>
        <v/>
      </c>
      <c r="I934">
        <f>IF(C934="","",AVERAGE(C919:C934)*$N$5)</f>
        <v/>
      </c>
      <c r="J934">
        <f>IF(C934="","",J933+$N$6*(C934*$N$5-J933))</f>
        <v/>
      </c>
      <c r="K934">
        <f>IF(B934="","",B934-B933)</f>
        <v/>
      </c>
    </row>
    <row r="935">
      <c r="G935">
        <f>IF(C935="","",C935*$N$5)</f>
        <v/>
      </c>
      <c r="H935">
        <f>IF(C935="","",AVERAGE(C932:C935)*$N$5)</f>
        <v/>
      </c>
      <c r="I935">
        <f>IF(C935="","",AVERAGE(C920:C935)*$N$5)</f>
        <v/>
      </c>
      <c r="J935">
        <f>IF(C935="","",J934+$N$6*(C935*$N$5-J934))</f>
        <v/>
      </c>
      <c r="K935">
        <f>IF(B935="","",B935-B934)</f>
        <v/>
      </c>
    </row>
    <row r="936">
      <c r="G936">
        <f>IF(C936="","",C936*$N$5)</f>
        <v/>
      </c>
      <c r="H936">
        <f>IF(C936="","",AVERAGE(C933:C936)*$N$5)</f>
        <v/>
      </c>
      <c r="I936">
        <f>IF(C936="","",AVERAGE(C921:C936)*$N$5)</f>
        <v/>
      </c>
      <c r="J936">
        <f>IF(C936="","",J935+$N$6*(C936*$N$5-J935))</f>
        <v/>
      </c>
      <c r="K936">
        <f>IF(B936="","",B936-B935)</f>
        <v/>
      </c>
    </row>
    <row r="937">
      <c r="G937">
        <f>IF(C937="","",C937*$N$5)</f>
        <v/>
      </c>
      <c r="H937">
        <f>IF(C937="","",AVERAGE(C934:C937)*$N$5)</f>
        <v/>
      </c>
      <c r="I937">
        <f>IF(C937="","",AVERAGE(C922:C937)*$N$5)</f>
        <v/>
      </c>
      <c r="J937">
        <f>IF(C937="","",J936+$N$6*(C937*$N$5-J936))</f>
        <v/>
      </c>
      <c r="K937">
        <f>IF(B937="","",B937-B936)</f>
        <v/>
      </c>
    </row>
    <row r="938">
      <c r="G938">
        <f>IF(C938="","",C938*$N$5)</f>
        <v/>
      </c>
      <c r="H938">
        <f>IF(C938="","",AVERAGE(C935:C938)*$N$5)</f>
        <v/>
      </c>
      <c r="I938">
        <f>IF(C938="","",AVERAGE(C923:C938)*$N$5)</f>
        <v/>
      </c>
      <c r="J938">
        <f>IF(C938="","",J937+$N$6*(C938*$N$5-J937))</f>
        <v/>
      </c>
      <c r="K938">
        <f>IF(B938="","",B938-B937)</f>
        <v/>
      </c>
    </row>
    <row r="939">
      <c r="G939">
        <f>IF(C939="","",C939*$N$5)</f>
        <v/>
      </c>
      <c r="H939">
        <f>IF(C939="","",AVERAGE(C936:C939)*$N$5)</f>
        <v/>
      </c>
      <c r="I939">
        <f>IF(C939="","",AVERAGE(C924:C939)*$N$5)</f>
        <v/>
      </c>
      <c r="J939">
        <f>IF(C939="","",J938+$N$6*(C939*$N$5-J938))</f>
        <v/>
      </c>
      <c r="K939">
        <f>IF(B939="","",B939-B938)</f>
        <v/>
      </c>
    </row>
    <row r="940">
      <c r="G940">
        <f>IF(C940="","",C940*$N$5)</f>
        <v/>
      </c>
      <c r="H940">
        <f>IF(C940="","",AVERAGE(C937:C940)*$N$5)</f>
        <v/>
      </c>
      <c r="I940">
        <f>IF(C940="","",AVERAGE(C925:C940)*$N$5)</f>
        <v/>
      </c>
      <c r="J940">
        <f>IF(C940="","",J939+$N$6*(C940*$N$5-J939))</f>
        <v/>
      </c>
      <c r="K940">
        <f>IF(B940="","",B940-B939)</f>
        <v/>
      </c>
    </row>
    <row r="941">
      <c r="G941">
        <f>IF(C941="","",C941*$N$5)</f>
        <v/>
      </c>
      <c r="H941">
        <f>IF(C941="","",AVERAGE(C938:C941)*$N$5)</f>
        <v/>
      </c>
      <c r="I941">
        <f>IF(C941="","",AVERAGE(C926:C941)*$N$5)</f>
        <v/>
      </c>
      <c r="J941">
        <f>IF(C941="","",J940+$N$6*(C941*$N$5-J940))</f>
        <v/>
      </c>
      <c r="K941">
        <f>IF(B941="","",B941-B940)</f>
        <v/>
      </c>
    </row>
    <row r="942">
      <c r="G942">
        <f>IF(C942="","",C942*$N$5)</f>
        <v/>
      </c>
      <c r="H942">
        <f>IF(C942="","",AVERAGE(C939:C942)*$N$5)</f>
        <v/>
      </c>
      <c r="I942">
        <f>IF(C942="","",AVERAGE(C927:C942)*$N$5)</f>
        <v/>
      </c>
      <c r="J942">
        <f>IF(C942="","",J941+$N$6*(C942*$N$5-J941))</f>
        <v/>
      </c>
      <c r="K942">
        <f>IF(B942="","",B942-B941)</f>
        <v/>
      </c>
    </row>
    <row r="943">
      <c r="G943">
        <f>IF(C943="","",C943*$N$5)</f>
        <v/>
      </c>
      <c r="H943">
        <f>IF(C943="","",AVERAGE(C940:C943)*$N$5)</f>
        <v/>
      </c>
      <c r="I943">
        <f>IF(C943="","",AVERAGE(C928:C943)*$N$5)</f>
        <v/>
      </c>
      <c r="J943">
        <f>IF(C943="","",J942+$N$6*(C943*$N$5-J942))</f>
        <v/>
      </c>
      <c r="K943">
        <f>IF(B943="","",B943-B942)</f>
        <v/>
      </c>
    </row>
    <row r="944">
      <c r="G944">
        <f>IF(C944="","",C944*$N$5)</f>
        <v/>
      </c>
      <c r="H944">
        <f>IF(C944="","",AVERAGE(C941:C944)*$N$5)</f>
        <v/>
      </c>
      <c r="I944">
        <f>IF(C944="","",AVERAGE(C929:C944)*$N$5)</f>
        <v/>
      </c>
      <c r="J944">
        <f>IF(C944="","",J943+$N$6*(C944*$N$5-J943))</f>
        <v/>
      </c>
      <c r="K944">
        <f>IF(B944="","",B944-B943)</f>
        <v/>
      </c>
    </row>
    <row r="945">
      <c r="G945">
        <f>IF(C945="","",C945*$N$5)</f>
        <v/>
      </c>
      <c r="H945">
        <f>IF(C945="","",AVERAGE(C942:C945)*$N$5)</f>
        <v/>
      </c>
      <c r="I945">
        <f>IF(C945="","",AVERAGE(C930:C945)*$N$5)</f>
        <v/>
      </c>
      <c r="J945">
        <f>IF(C945="","",J944+$N$6*(C945*$N$5-J944))</f>
        <v/>
      </c>
      <c r="K945">
        <f>IF(B945="","",B945-B944)</f>
        <v/>
      </c>
    </row>
    <row r="946">
      <c r="G946">
        <f>IF(C946="","",C946*$N$5)</f>
        <v/>
      </c>
      <c r="H946">
        <f>IF(C946="","",AVERAGE(C943:C946)*$N$5)</f>
        <v/>
      </c>
      <c r="I946">
        <f>IF(C946="","",AVERAGE(C931:C946)*$N$5)</f>
        <v/>
      </c>
      <c r="J946">
        <f>IF(C946="","",J945+$N$6*(C946*$N$5-J945))</f>
        <v/>
      </c>
      <c r="K946">
        <f>IF(B946="","",B946-B945)</f>
        <v/>
      </c>
    </row>
    <row r="947">
      <c r="G947">
        <f>IF(C947="","",C947*$N$5)</f>
        <v/>
      </c>
      <c r="H947">
        <f>IF(C947="","",AVERAGE(C944:C947)*$N$5)</f>
        <v/>
      </c>
      <c r="I947">
        <f>IF(C947="","",AVERAGE(C932:C947)*$N$5)</f>
        <v/>
      </c>
      <c r="J947">
        <f>IF(C947="","",J946+$N$6*(C947*$N$5-J946))</f>
        <v/>
      </c>
      <c r="K947">
        <f>IF(B947="","",B947-B946)</f>
        <v/>
      </c>
    </row>
    <row r="948">
      <c r="G948">
        <f>IF(C948="","",C948*$N$5)</f>
        <v/>
      </c>
      <c r="H948">
        <f>IF(C948="","",AVERAGE(C945:C948)*$N$5)</f>
        <v/>
      </c>
      <c r="I948">
        <f>IF(C948="","",AVERAGE(C933:C948)*$N$5)</f>
        <v/>
      </c>
      <c r="J948">
        <f>IF(C948="","",J947+$N$6*(C948*$N$5-J947))</f>
        <v/>
      </c>
      <c r="K948">
        <f>IF(B948="","",B948-B947)</f>
        <v/>
      </c>
    </row>
    <row r="949">
      <c r="G949">
        <f>IF(C949="","",C949*$N$5)</f>
        <v/>
      </c>
      <c r="H949">
        <f>IF(C949="","",AVERAGE(C946:C949)*$N$5)</f>
        <v/>
      </c>
      <c r="I949">
        <f>IF(C949="","",AVERAGE(C934:C949)*$N$5)</f>
        <v/>
      </c>
      <c r="J949">
        <f>IF(C949="","",J948+$N$6*(C949*$N$5-J948))</f>
        <v/>
      </c>
      <c r="K949">
        <f>IF(B949="","",B949-B948)</f>
        <v/>
      </c>
    </row>
    <row r="950">
      <c r="G950">
        <f>IF(C950="","",C950*$N$5)</f>
        <v/>
      </c>
      <c r="H950">
        <f>IF(C950="","",AVERAGE(C947:C950)*$N$5)</f>
        <v/>
      </c>
      <c r="I950">
        <f>IF(C950="","",AVERAGE(C935:C950)*$N$5)</f>
        <v/>
      </c>
      <c r="J950">
        <f>IF(C950="","",J949+$N$6*(C950*$N$5-J949))</f>
        <v/>
      </c>
      <c r="K950">
        <f>IF(B950="","",B950-B949)</f>
        <v/>
      </c>
    </row>
    <row r="951">
      <c r="G951">
        <f>IF(C951="","",C951*$N$5)</f>
        <v/>
      </c>
      <c r="H951">
        <f>IF(C951="","",AVERAGE(C948:C951)*$N$5)</f>
        <v/>
      </c>
      <c r="I951">
        <f>IF(C951="","",AVERAGE(C936:C951)*$N$5)</f>
        <v/>
      </c>
      <c r="J951">
        <f>IF(C951="","",J950+$N$6*(C951*$N$5-J950))</f>
        <v/>
      </c>
      <c r="K951">
        <f>IF(B951="","",B951-B950)</f>
        <v/>
      </c>
    </row>
    <row r="952">
      <c r="G952">
        <f>IF(C952="","",C952*$N$5)</f>
        <v/>
      </c>
      <c r="H952">
        <f>IF(C952="","",AVERAGE(C949:C952)*$N$5)</f>
        <v/>
      </c>
      <c r="I952">
        <f>IF(C952="","",AVERAGE(C937:C952)*$N$5)</f>
        <v/>
      </c>
      <c r="J952">
        <f>IF(C952="","",J951+$N$6*(C952*$N$5-J951))</f>
        <v/>
      </c>
      <c r="K952">
        <f>IF(B952="","",B952-B951)</f>
        <v/>
      </c>
    </row>
    <row r="953">
      <c r="G953">
        <f>IF(C953="","",C953*$N$5)</f>
        <v/>
      </c>
      <c r="H953">
        <f>IF(C953="","",AVERAGE(C950:C953)*$N$5)</f>
        <v/>
      </c>
      <c r="I953">
        <f>IF(C953="","",AVERAGE(C938:C953)*$N$5)</f>
        <v/>
      </c>
      <c r="J953">
        <f>IF(C953="","",J952+$N$6*(C953*$N$5-J952))</f>
        <v/>
      </c>
      <c r="K953">
        <f>IF(B953="","",B953-B952)</f>
        <v/>
      </c>
    </row>
    <row r="954">
      <c r="G954">
        <f>IF(C954="","",C954*$N$5)</f>
        <v/>
      </c>
      <c r="H954">
        <f>IF(C954="","",AVERAGE(C951:C954)*$N$5)</f>
        <v/>
      </c>
      <c r="I954">
        <f>IF(C954="","",AVERAGE(C939:C954)*$N$5)</f>
        <v/>
      </c>
      <c r="J954">
        <f>IF(C954="","",J953+$N$6*(C954*$N$5-J953))</f>
        <v/>
      </c>
      <c r="K954">
        <f>IF(B954="","",B954-B953)</f>
        <v/>
      </c>
    </row>
    <row r="955">
      <c r="G955">
        <f>IF(C955="","",C955*$N$5)</f>
        <v/>
      </c>
      <c r="H955">
        <f>IF(C955="","",AVERAGE(C952:C955)*$N$5)</f>
        <v/>
      </c>
      <c r="I955">
        <f>IF(C955="","",AVERAGE(C940:C955)*$N$5)</f>
        <v/>
      </c>
      <c r="J955">
        <f>IF(C955="","",J954+$N$6*(C955*$N$5-J954))</f>
        <v/>
      </c>
      <c r="K955">
        <f>IF(B955="","",B955-B954)</f>
        <v/>
      </c>
    </row>
    <row r="956">
      <c r="G956">
        <f>IF(C956="","",C956*$N$5)</f>
        <v/>
      </c>
      <c r="H956">
        <f>IF(C956="","",AVERAGE(C953:C956)*$N$5)</f>
        <v/>
      </c>
      <c r="I956">
        <f>IF(C956="","",AVERAGE(C941:C956)*$N$5)</f>
        <v/>
      </c>
      <c r="J956">
        <f>IF(C956="","",J955+$N$6*(C956*$N$5-J955))</f>
        <v/>
      </c>
      <c r="K956">
        <f>IF(B956="","",B956-B955)</f>
        <v/>
      </c>
    </row>
    <row r="957">
      <c r="G957">
        <f>IF(C957="","",C957*$N$5)</f>
        <v/>
      </c>
      <c r="H957">
        <f>IF(C957="","",AVERAGE(C954:C957)*$N$5)</f>
        <v/>
      </c>
      <c r="I957">
        <f>IF(C957="","",AVERAGE(C942:C957)*$N$5)</f>
        <v/>
      </c>
      <c r="J957">
        <f>IF(C957="","",J956+$N$6*(C957*$N$5-J956))</f>
        <v/>
      </c>
      <c r="K957">
        <f>IF(B957="","",B957-B956)</f>
        <v/>
      </c>
    </row>
    <row r="958">
      <c r="G958">
        <f>IF(C958="","",C958*$N$5)</f>
        <v/>
      </c>
      <c r="H958">
        <f>IF(C958="","",AVERAGE(C955:C958)*$N$5)</f>
        <v/>
      </c>
      <c r="I958">
        <f>IF(C958="","",AVERAGE(C943:C958)*$N$5)</f>
        <v/>
      </c>
      <c r="J958">
        <f>IF(C958="","",J957+$N$6*(C958*$N$5-J957))</f>
        <v/>
      </c>
      <c r="K958">
        <f>IF(B958="","",B958-B957)</f>
        <v/>
      </c>
    </row>
    <row r="959">
      <c r="G959">
        <f>IF(C959="","",C959*$N$5)</f>
        <v/>
      </c>
      <c r="H959">
        <f>IF(C959="","",AVERAGE(C956:C959)*$N$5)</f>
        <v/>
      </c>
      <c r="I959">
        <f>IF(C959="","",AVERAGE(C944:C959)*$N$5)</f>
        <v/>
      </c>
      <c r="J959">
        <f>IF(C959="","",J958+$N$6*(C959*$N$5-J958))</f>
        <v/>
      </c>
      <c r="K959">
        <f>IF(B959="","",B959-B958)</f>
        <v/>
      </c>
    </row>
    <row r="960">
      <c r="G960">
        <f>IF(C960="","",C960*$N$5)</f>
        <v/>
      </c>
      <c r="H960">
        <f>IF(C960="","",AVERAGE(C957:C960)*$N$5)</f>
        <v/>
      </c>
      <c r="I960">
        <f>IF(C960="","",AVERAGE(C945:C960)*$N$5)</f>
        <v/>
      </c>
      <c r="J960">
        <f>IF(C960="","",J959+$N$6*(C960*$N$5-J959))</f>
        <v/>
      </c>
      <c r="K960">
        <f>IF(B960="","",B960-B959)</f>
        <v/>
      </c>
    </row>
    <row r="961">
      <c r="G961">
        <f>IF(C961="","",C961*$N$5)</f>
        <v/>
      </c>
      <c r="H961">
        <f>IF(C961="","",AVERAGE(C958:C961)*$N$5)</f>
        <v/>
      </c>
      <c r="I961">
        <f>IF(C961="","",AVERAGE(C946:C961)*$N$5)</f>
        <v/>
      </c>
      <c r="J961">
        <f>IF(C961="","",J960+$N$6*(C961*$N$5-J960))</f>
        <v/>
      </c>
      <c r="K961">
        <f>IF(B961="","",B961-B960)</f>
        <v/>
      </c>
    </row>
    <row r="962">
      <c r="G962">
        <f>IF(C962="","",C962*$N$5)</f>
        <v/>
      </c>
      <c r="H962">
        <f>IF(C962="","",AVERAGE(C959:C962)*$N$5)</f>
        <v/>
      </c>
      <c r="I962">
        <f>IF(C962="","",AVERAGE(C947:C962)*$N$5)</f>
        <v/>
      </c>
      <c r="J962">
        <f>IF(C962="","",J961+$N$6*(C962*$N$5-J961))</f>
        <v/>
      </c>
      <c r="K962">
        <f>IF(B962="","",B962-B961)</f>
        <v/>
      </c>
    </row>
    <row r="963">
      <c r="G963">
        <f>IF(C963="","",C963*$N$5)</f>
        <v/>
      </c>
      <c r="H963">
        <f>IF(C963="","",AVERAGE(C960:C963)*$N$5)</f>
        <v/>
      </c>
      <c r="I963">
        <f>IF(C963="","",AVERAGE(C948:C963)*$N$5)</f>
        <v/>
      </c>
      <c r="J963">
        <f>IF(C963="","",J962+$N$6*(C963*$N$5-J962))</f>
        <v/>
      </c>
      <c r="K963">
        <f>IF(B963="","",B963-B962)</f>
        <v/>
      </c>
    </row>
    <row r="964">
      <c r="G964">
        <f>IF(C964="","",C964*$N$5)</f>
        <v/>
      </c>
      <c r="H964">
        <f>IF(C964="","",AVERAGE(C961:C964)*$N$5)</f>
        <v/>
      </c>
      <c r="I964">
        <f>IF(C964="","",AVERAGE(C949:C964)*$N$5)</f>
        <v/>
      </c>
      <c r="J964">
        <f>IF(C964="","",J963+$N$6*(C964*$N$5-J963))</f>
        <v/>
      </c>
      <c r="K964">
        <f>IF(B964="","",B964-B963)</f>
        <v/>
      </c>
    </row>
    <row r="965">
      <c r="G965">
        <f>IF(C965="","",C965*$N$5)</f>
        <v/>
      </c>
      <c r="H965">
        <f>IF(C965="","",AVERAGE(C962:C965)*$N$5)</f>
        <v/>
      </c>
      <c r="I965">
        <f>IF(C965="","",AVERAGE(C950:C965)*$N$5)</f>
        <v/>
      </c>
      <c r="J965">
        <f>IF(C965="","",J964+$N$6*(C965*$N$5-J964))</f>
        <v/>
      </c>
      <c r="K965">
        <f>IF(B965="","",B965-B964)</f>
        <v/>
      </c>
    </row>
    <row r="966">
      <c r="G966">
        <f>IF(C966="","",C966*$N$5)</f>
        <v/>
      </c>
      <c r="H966">
        <f>IF(C966="","",AVERAGE(C963:C966)*$N$5)</f>
        <v/>
      </c>
      <c r="I966">
        <f>IF(C966="","",AVERAGE(C951:C966)*$N$5)</f>
        <v/>
      </c>
      <c r="J966">
        <f>IF(C966="","",J965+$N$6*(C966*$N$5-J965))</f>
        <v/>
      </c>
      <c r="K966">
        <f>IF(B966="","",B966-B965)</f>
        <v/>
      </c>
    </row>
    <row r="967">
      <c r="G967">
        <f>IF(C967="","",C967*$N$5)</f>
        <v/>
      </c>
      <c r="H967">
        <f>IF(C967="","",AVERAGE(C964:C967)*$N$5)</f>
        <v/>
      </c>
      <c r="I967">
        <f>IF(C967="","",AVERAGE(C952:C967)*$N$5)</f>
        <v/>
      </c>
      <c r="J967">
        <f>IF(C967="","",J966+$N$6*(C967*$N$5-J966))</f>
        <v/>
      </c>
      <c r="K967">
        <f>IF(B967="","",B967-B966)</f>
        <v/>
      </c>
    </row>
    <row r="968">
      <c r="G968">
        <f>IF(C968="","",C968*$N$5)</f>
        <v/>
      </c>
      <c r="H968">
        <f>IF(C968="","",AVERAGE(C965:C968)*$N$5)</f>
        <v/>
      </c>
      <c r="I968">
        <f>IF(C968="","",AVERAGE(C953:C968)*$N$5)</f>
        <v/>
      </c>
      <c r="J968">
        <f>IF(C968="","",J967+$N$6*(C968*$N$5-J967))</f>
        <v/>
      </c>
      <c r="K968">
        <f>IF(B968="","",B968-B967)</f>
        <v/>
      </c>
    </row>
    <row r="969">
      <c r="G969">
        <f>IF(C969="","",C969*$N$5)</f>
        <v/>
      </c>
      <c r="H969">
        <f>IF(C969="","",AVERAGE(C966:C969)*$N$5)</f>
        <v/>
      </c>
      <c r="I969">
        <f>IF(C969="","",AVERAGE(C954:C969)*$N$5)</f>
        <v/>
      </c>
      <c r="J969">
        <f>IF(C969="","",J968+$N$6*(C969*$N$5-J968))</f>
        <v/>
      </c>
      <c r="K969">
        <f>IF(B969="","",B969-B968)</f>
        <v/>
      </c>
    </row>
    <row r="970">
      <c r="G970">
        <f>IF(C970="","",C970*$N$5)</f>
        <v/>
      </c>
      <c r="H970">
        <f>IF(C970="","",AVERAGE(C967:C970)*$N$5)</f>
        <v/>
      </c>
      <c r="I970">
        <f>IF(C970="","",AVERAGE(C955:C970)*$N$5)</f>
        <v/>
      </c>
      <c r="J970">
        <f>IF(C970="","",J969+$N$6*(C970*$N$5-J969))</f>
        <v/>
      </c>
      <c r="K970">
        <f>IF(B970="","",B970-B969)</f>
        <v/>
      </c>
    </row>
    <row r="971">
      <c r="G971">
        <f>IF(C971="","",C971*$N$5)</f>
        <v/>
      </c>
      <c r="H971">
        <f>IF(C971="","",AVERAGE(C968:C971)*$N$5)</f>
        <v/>
      </c>
      <c r="I971">
        <f>IF(C971="","",AVERAGE(C956:C971)*$N$5)</f>
        <v/>
      </c>
      <c r="J971">
        <f>IF(C971="","",J970+$N$6*(C971*$N$5-J970))</f>
        <v/>
      </c>
      <c r="K971">
        <f>IF(B971="","",B971-B970)</f>
        <v/>
      </c>
    </row>
    <row r="972">
      <c r="G972">
        <f>IF(C972="","",C972*$N$5)</f>
        <v/>
      </c>
      <c r="H972">
        <f>IF(C972="","",AVERAGE(C969:C972)*$N$5)</f>
        <v/>
      </c>
      <c r="I972">
        <f>IF(C972="","",AVERAGE(C957:C972)*$N$5)</f>
        <v/>
      </c>
      <c r="J972">
        <f>IF(C972="","",J971+$N$6*(C972*$N$5-J971))</f>
        <v/>
      </c>
      <c r="K972">
        <f>IF(B972="","",B972-B971)</f>
        <v/>
      </c>
    </row>
    <row r="973">
      <c r="G973">
        <f>IF(C973="","",C973*$N$5)</f>
        <v/>
      </c>
      <c r="H973">
        <f>IF(C973="","",AVERAGE(C970:C973)*$N$5)</f>
        <v/>
      </c>
      <c r="I973">
        <f>IF(C973="","",AVERAGE(C958:C973)*$N$5)</f>
        <v/>
      </c>
      <c r="J973">
        <f>IF(C973="","",J972+$N$6*(C973*$N$5-J972))</f>
        <v/>
      </c>
      <c r="K973">
        <f>IF(B973="","",B973-B972)</f>
        <v/>
      </c>
    </row>
    <row r="974">
      <c r="G974">
        <f>IF(C974="","",C974*$N$5)</f>
        <v/>
      </c>
      <c r="H974">
        <f>IF(C974="","",AVERAGE(C971:C974)*$N$5)</f>
        <v/>
      </c>
      <c r="I974">
        <f>IF(C974="","",AVERAGE(C959:C974)*$N$5)</f>
        <v/>
      </c>
      <c r="J974">
        <f>IF(C974="","",J973+$N$6*(C974*$N$5-J973))</f>
        <v/>
      </c>
      <c r="K974">
        <f>IF(B974="","",B974-B973)</f>
        <v/>
      </c>
    </row>
    <row r="975">
      <c r="G975">
        <f>IF(C975="","",C975*$N$5)</f>
        <v/>
      </c>
      <c r="H975">
        <f>IF(C975="","",AVERAGE(C972:C975)*$N$5)</f>
        <v/>
      </c>
      <c r="I975">
        <f>IF(C975="","",AVERAGE(C960:C975)*$N$5)</f>
        <v/>
      </c>
      <c r="J975">
        <f>IF(C975="","",J974+$N$6*(C975*$N$5-J974))</f>
        <v/>
      </c>
      <c r="K975">
        <f>IF(B975="","",B975-B974)</f>
        <v/>
      </c>
    </row>
    <row r="976">
      <c r="G976">
        <f>IF(C976="","",C976*$N$5)</f>
        <v/>
      </c>
      <c r="H976">
        <f>IF(C976="","",AVERAGE(C973:C976)*$N$5)</f>
        <v/>
      </c>
      <c r="I976">
        <f>IF(C976="","",AVERAGE(C961:C976)*$N$5)</f>
        <v/>
      </c>
      <c r="J976">
        <f>IF(C976="","",J975+$N$6*(C976*$N$5-J975))</f>
        <v/>
      </c>
      <c r="K976">
        <f>IF(B976="","",B976-B975)</f>
        <v/>
      </c>
    </row>
    <row r="977">
      <c r="G977">
        <f>IF(C977="","",C977*$N$5)</f>
        <v/>
      </c>
      <c r="H977">
        <f>IF(C977="","",AVERAGE(C974:C977)*$N$5)</f>
        <v/>
      </c>
      <c r="I977">
        <f>IF(C977="","",AVERAGE(C962:C977)*$N$5)</f>
        <v/>
      </c>
      <c r="J977">
        <f>IF(C977="","",J976+$N$6*(C977*$N$5-J976))</f>
        <v/>
      </c>
      <c r="K977">
        <f>IF(B977="","",B977-B976)</f>
        <v/>
      </c>
    </row>
    <row r="978">
      <c r="G978">
        <f>IF(C978="","",C978*$N$5)</f>
        <v/>
      </c>
      <c r="H978">
        <f>IF(C978="","",AVERAGE(C975:C978)*$N$5)</f>
        <v/>
      </c>
      <c r="I978">
        <f>IF(C978="","",AVERAGE(C963:C978)*$N$5)</f>
        <v/>
      </c>
      <c r="J978">
        <f>IF(C978="","",J977+$N$6*(C978*$N$5-J977))</f>
        <v/>
      </c>
      <c r="K978">
        <f>IF(B978="","",B978-B977)</f>
        <v/>
      </c>
    </row>
    <row r="979">
      <c r="G979">
        <f>IF(C979="","",C979*$N$5)</f>
        <v/>
      </c>
      <c r="H979">
        <f>IF(C979="","",AVERAGE(C976:C979)*$N$5)</f>
        <v/>
      </c>
      <c r="I979">
        <f>IF(C979="","",AVERAGE(C964:C979)*$N$5)</f>
        <v/>
      </c>
      <c r="J979">
        <f>IF(C979="","",J978+$N$6*(C979*$N$5-J978))</f>
        <v/>
      </c>
      <c r="K979">
        <f>IF(B979="","",B979-B978)</f>
        <v/>
      </c>
    </row>
    <row r="980">
      <c r="G980">
        <f>IF(C980="","",C980*$N$5)</f>
        <v/>
      </c>
      <c r="H980">
        <f>IF(C980="","",AVERAGE(C977:C980)*$N$5)</f>
        <v/>
      </c>
      <c r="I980">
        <f>IF(C980="","",AVERAGE(C965:C980)*$N$5)</f>
        <v/>
      </c>
      <c r="J980">
        <f>IF(C980="","",J979+$N$6*(C980*$N$5-J979))</f>
        <v/>
      </c>
      <c r="K980">
        <f>IF(B980="","",B980-B979)</f>
        <v/>
      </c>
    </row>
    <row r="981">
      <c r="G981">
        <f>IF(C981="","",C981*$N$5)</f>
        <v/>
      </c>
      <c r="H981">
        <f>IF(C981="","",AVERAGE(C978:C981)*$N$5)</f>
        <v/>
      </c>
      <c r="I981">
        <f>IF(C981="","",AVERAGE(C966:C981)*$N$5)</f>
        <v/>
      </c>
      <c r="J981">
        <f>IF(C981="","",J980+$N$6*(C981*$N$5-J980))</f>
        <v/>
      </c>
      <c r="K981">
        <f>IF(B981="","",B981-B980)</f>
        <v/>
      </c>
    </row>
    <row r="982">
      <c r="G982">
        <f>IF(C982="","",C982*$N$5)</f>
        <v/>
      </c>
      <c r="H982">
        <f>IF(C982="","",AVERAGE(C979:C982)*$N$5)</f>
        <v/>
      </c>
      <c r="I982">
        <f>IF(C982="","",AVERAGE(C967:C982)*$N$5)</f>
        <v/>
      </c>
      <c r="J982">
        <f>IF(C982="","",J981+$N$6*(C982*$N$5-J981))</f>
        <v/>
      </c>
      <c r="K982">
        <f>IF(B982="","",B982-B981)</f>
        <v/>
      </c>
    </row>
    <row r="983">
      <c r="G983">
        <f>IF(C983="","",C983*$N$5)</f>
        <v/>
      </c>
      <c r="H983">
        <f>IF(C983="","",AVERAGE(C980:C983)*$N$5)</f>
        <v/>
      </c>
      <c r="I983">
        <f>IF(C983="","",AVERAGE(C968:C983)*$N$5)</f>
        <v/>
      </c>
      <c r="J983">
        <f>IF(C983="","",J982+$N$6*(C983*$N$5-J982))</f>
        <v/>
      </c>
      <c r="K983">
        <f>IF(B983="","",B983-B982)</f>
        <v/>
      </c>
    </row>
    <row r="984">
      <c r="G984">
        <f>IF(C984="","",C984*$N$5)</f>
        <v/>
      </c>
      <c r="H984">
        <f>IF(C984="","",AVERAGE(C981:C984)*$N$5)</f>
        <v/>
      </c>
      <c r="I984">
        <f>IF(C984="","",AVERAGE(C969:C984)*$N$5)</f>
        <v/>
      </c>
      <c r="J984">
        <f>IF(C984="","",J983+$N$6*(C984*$N$5-J983))</f>
        <v/>
      </c>
      <c r="K984">
        <f>IF(B984="","",B984-B983)</f>
        <v/>
      </c>
    </row>
    <row r="985">
      <c r="G985">
        <f>IF(C985="","",C985*$N$5)</f>
        <v/>
      </c>
      <c r="H985">
        <f>IF(C985="","",AVERAGE(C982:C985)*$N$5)</f>
        <v/>
      </c>
      <c r="I985">
        <f>IF(C985="","",AVERAGE(C970:C985)*$N$5)</f>
        <v/>
      </c>
      <c r="J985">
        <f>IF(C985="","",J984+$N$6*(C985*$N$5-J984))</f>
        <v/>
      </c>
      <c r="K985">
        <f>IF(B985="","",B985-B984)</f>
        <v/>
      </c>
    </row>
    <row r="986">
      <c r="G986">
        <f>IF(C986="","",C986*$N$5)</f>
        <v/>
      </c>
      <c r="H986">
        <f>IF(C986="","",AVERAGE(C983:C986)*$N$5)</f>
        <v/>
      </c>
      <c r="I986">
        <f>IF(C986="","",AVERAGE(C971:C986)*$N$5)</f>
        <v/>
      </c>
      <c r="J986">
        <f>IF(C986="","",J985+$N$6*(C986*$N$5-J985))</f>
        <v/>
      </c>
      <c r="K986">
        <f>IF(B986="","",B986-B985)</f>
        <v/>
      </c>
    </row>
    <row r="987">
      <c r="G987">
        <f>IF(C987="","",C987*$N$5)</f>
        <v/>
      </c>
      <c r="H987">
        <f>IF(C987="","",AVERAGE(C984:C987)*$N$5)</f>
        <v/>
      </c>
      <c r="I987">
        <f>IF(C987="","",AVERAGE(C972:C987)*$N$5)</f>
        <v/>
      </c>
      <c r="J987">
        <f>IF(C987="","",J986+$N$6*(C987*$N$5-J986))</f>
        <v/>
      </c>
      <c r="K987">
        <f>IF(B987="","",B987-B986)</f>
        <v/>
      </c>
    </row>
    <row r="988">
      <c r="G988">
        <f>IF(C988="","",C988*$N$5)</f>
        <v/>
      </c>
      <c r="H988">
        <f>IF(C988="","",AVERAGE(C985:C988)*$N$5)</f>
        <v/>
      </c>
      <c r="I988">
        <f>IF(C988="","",AVERAGE(C973:C988)*$N$5)</f>
        <v/>
      </c>
      <c r="J988">
        <f>IF(C988="","",J987+$N$6*(C988*$N$5-J987))</f>
        <v/>
      </c>
      <c r="K988">
        <f>IF(B988="","",B988-B987)</f>
        <v/>
      </c>
    </row>
    <row r="989">
      <c r="G989">
        <f>IF(C989="","",C989*$N$5)</f>
        <v/>
      </c>
      <c r="H989">
        <f>IF(C989="","",AVERAGE(C986:C989)*$N$5)</f>
        <v/>
      </c>
      <c r="I989">
        <f>IF(C989="","",AVERAGE(C974:C989)*$N$5)</f>
        <v/>
      </c>
      <c r="J989">
        <f>IF(C989="","",J988+$N$6*(C989*$N$5-J988))</f>
        <v/>
      </c>
      <c r="K989">
        <f>IF(B989="","",B989-B988)</f>
        <v/>
      </c>
    </row>
    <row r="990">
      <c r="G990">
        <f>IF(C990="","",C990*$N$5)</f>
        <v/>
      </c>
      <c r="H990">
        <f>IF(C990="","",AVERAGE(C987:C990)*$N$5)</f>
        <v/>
      </c>
      <c r="I990">
        <f>IF(C990="","",AVERAGE(C975:C990)*$N$5)</f>
        <v/>
      </c>
      <c r="J990">
        <f>IF(C990="","",J989+$N$6*(C990*$N$5-J989))</f>
        <v/>
      </c>
      <c r="K990">
        <f>IF(B990="","",B990-B989)</f>
        <v/>
      </c>
    </row>
    <row r="991">
      <c r="G991">
        <f>IF(C991="","",C991*$N$5)</f>
        <v/>
      </c>
      <c r="H991">
        <f>IF(C991="","",AVERAGE(C988:C991)*$N$5)</f>
        <v/>
      </c>
      <c r="I991">
        <f>IF(C991="","",AVERAGE(C976:C991)*$N$5)</f>
        <v/>
      </c>
      <c r="J991">
        <f>IF(C991="","",J990+$N$6*(C991*$N$5-J990))</f>
        <v/>
      </c>
      <c r="K991">
        <f>IF(B991="","",B991-B990)</f>
        <v/>
      </c>
    </row>
    <row r="992">
      <c r="G992">
        <f>IF(C992="","",C992*$N$5)</f>
        <v/>
      </c>
      <c r="H992">
        <f>IF(C992="","",AVERAGE(C989:C992)*$N$5)</f>
        <v/>
      </c>
      <c r="I992">
        <f>IF(C992="","",AVERAGE(C977:C992)*$N$5)</f>
        <v/>
      </c>
      <c r="J992">
        <f>IF(C992="","",J991+$N$6*(C992*$N$5-J991))</f>
        <v/>
      </c>
      <c r="K992">
        <f>IF(B992="","",B992-B991)</f>
        <v/>
      </c>
    </row>
    <row r="993">
      <c r="G993">
        <f>IF(C993="","",C993*$N$5)</f>
        <v/>
      </c>
      <c r="H993">
        <f>IF(C993="","",AVERAGE(C990:C993)*$N$5)</f>
        <v/>
      </c>
      <c r="I993">
        <f>IF(C993="","",AVERAGE(C978:C993)*$N$5)</f>
        <v/>
      </c>
      <c r="J993">
        <f>IF(C993="","",J992+$N$6*(C993*$N$5-J992))</f>
        <v/>
      </c>
      <c r="K993">
        <f>IF(B993="","",B993-B992)</f>
        <v/>
      </c>
    </row>
    <row r="994">
      <c r="G994">
        <f>IF(C994="","",C994*$N$5)</f>
        <v/>
      </c>
      <c r="H994">
        <f>IF(C994="","",AVERAGE(C991:C994)*$N$5)</f>
        <v/>
      </c>
      <c r="I994">
        <f>IF(C994="","",AVERAGE(C979:C994)*$N$5)</f>
        <v/>
      </c>
      <c r="J994">
        <f>IF(C994="","",J993+$N$6*(C994*$N$5-J993))</f>
        <v/>
      </c>
      <c r="K994">
        <f>IF(B994="","",B994-B993)</f>
        <v/>
      </c>
    </row>
    <row r="995">
      <c r="G995">
        <f>IF(C995="","",C995*$N$5)</f>
        <v/>
      </c>
      <c r="H995">
        <f>IF(C995="","",AVERAGE(C992:C995)*$N$5)</f>
        <v/>
      </c>
      <c r="I995">
        <f>IF(C995="","",AVERAGE(C980:C995)*$N$5)</f>
        <v/>
      </c>
      <c r="J995">
        <f>IF(C995="","",J994+$N$6*(C995*$N$5-J994))</f>
        <v/>
      </c>
      <c r="K995">
        <f>IF(B995="","",B995-B994)</f>
        <v/>
      </c>
    </row>
    <row r="996">
      <c r="G996">
        <f>IF(C996="","",C996*$N$5)</f>
        <v/>
      </c>
      <c r="H996">
        <f>IF(C996="","",AVERAGE(C993:C996)*$N$5)</f>
        <v/>
      </c>
      <c r="I996">
        <f>IF(C996="","",AVERAGE(C981:C996)*$N$5)</f>
        <v/>
      </c>
      <c r="J996">
        <f>IF(C996="","",J995+$N$6*(C996*$N$5-J995))</f>
        <v/>
      </c>
      <c r="K996">
        <f>IF(B996="","",B996-B995)</f>
        <v/>
      </c>
    </row>
    <row r="997">
      <c r="G997">
        <f>IF(C997="","",C997*$N$5)</f>
        <v/>
      </c>
      <c r="H997">
        <f>IF(C997="","",AVERAGE(C994:C997)*$N$5)</f>
        <v/>
      </c>
      <c r="I997">
        <f>IF(C997="","",AVERAGE(C982:C997)*$N$5)</f>
        <v/>
      </c>
      <c r="J997">
        <f>IF(C997="","",J996+$N$6*(C997*$N$5-J996))</f>
        <v/>
      </c>
      <c r="K997">
        <f>IF(B997="","",B997-B996)</f>
        <v/>
      </c>
    </row>
    <row r="998">
      <c r="G998">
        <f>IF(C998="","",C998*$N$5)</f>
        <v/>
      </c>
      <c r="H998">
        <f>IF(C998="","",AVERAGE(C995:C998)*$N$5)</f>
        <v/>
      </c>
      <c r="I998">
        <f>IF(C998="","",AVERAGE(C983:C998)*$N$5)</f>
        <v/>
      </c>
      <c r="J998">
        <f>IF(C998="","",J997+$N$6*(C998*$N$5-J997))</f>
        <v/>
      </c>
      <c r="K998">
        <f>IF(B998="","",B998-B997)</f>
        <v/>
      </c>
    </row>
    <row r="999">
      <c r="G999">
        <f>IF(C999="","",C999*$N$5)</f>
        <v/>
      </c>
      <c r="H999">
        <f>IF(C999="","",AVERAGE(C996:C999)*$N$5)</f>
        <v/>
      </c>
      <c r="I999">
        <f>IF(C999="","",AVERAGE(C984:C999)*$N$5)</f>
        <v/>
      </c>
      <c r="J999">
        <f>IF(C999="","",J998+$N$6*(C999*$N$5-J998))</f>
        <v/>
      </c>
      <c r="K999">
        <f>IF(B999="","",B999-B998)</f>
        <v/>
      </c>
    </row>
    <row r="1000">
      <c r="G1000">
        <f>IF(C1000="","",C1000*$N$5)</f>
        <v/>
      </c>
      <c r="H1000">
        <f>IF(C1000="","",AVERAGE(C997:C1000)*$N$5)</f>
        <v/>
      </c>
      <c r="I1000">
        <f>IF(C1000="","",AVERAGE(C985:C1000)*$N$5)</f>
        <v/>
      </c>
      <c r="J1000">
        <f>IF(C1000="","",J999+$N$6*(C1000*$N$5-J999))</f>
        <v/>
      </c>
      <c r="K1000">
        <f>IF(B1000="","",B1000-B999)</f>
        <v/>
      </c>
    </row>
    <row r="1001">
      <c r="G1001">
        <f>IF(C1001="","",C1001*$N$5)</f>
        <v/>
      </c>
      <c r="H1001">
        <f>IF(C1001="","",AVERAGE(C998:C1001)*$N$5)</f>
        <v/>
      </c>
      <c r="I1001">
        <f>IF(C1001="","",AVERAGE(C986:C1001)*$N$5)</f>
        <v/>
      </c>
      <c r="J1001">
        <f>IF(C1001="","",J1000+$N$6*(C1001*$N$5-J1000))</f>
        <v/>
      </c>
      <c r="K1001">
        <f>IF(B1001="","",B1001-B1000)</f>
        <v/>
      </c>
    </row>
    <row r="1002">
      <c r="G1002">
        <f>IF(C1002="","",C1002*$N$5)</f>
        <v/>
      </c>
      <c r="H1002">
        <f>IF(C1002="","",AVERAGE(C999:C1002)*$N$5)</f>
        <v/>
      </c>
      <c r="I1002">
        <f>IF(C1002="","",AVERAGE(C987:C1002)*$N$5)</f>
        <v/>
      </c>
      <c r="J1002">
        <f>IF(C1002="","",J1001+$N$6*(C1002*$N$5-J1001))</f>
        <v/>
      </c>
      <c r="K1002">
        <f>IF(B1002="","",B1002-B1001)</f>
        <v/>
      </c>
    </row>
    <row r="1003">
      <c r="G1003">
        <f>IF(C1003="","",C1003*$N$5)</f>
        <v/>
      </c>
      <c r="H1003">
        <f>IF(C1003="","",AVERAGE(C1000:C1003)*$N$5)</f>
        <v/>
      </c>
      <c r="I1003">
        <f>IF(C1003="","",AVERAGE(C988:C1003)*$N$5)</f>
        <v/>
      </c>
      <c r="J1003">
        <f>IF(C1003="","",J1002+$N$6*(C1003*$N$5-J1002))</f>
        <v/>
      </c>
      <c r="K1003">
        <f>IF(B1003="","",B1003-B1002)</f>
        <v/>
      </c>
    </row>
    <row r="1004">
      <c r="G1004">
        <f>IF(C1004="","",C1004*$N$5)</f>
        <v/>
      </c>
      <c r="H1004">
        <f>IF(C1004="","",AVERAGE(C1001:C1004)*$N$5)</f>
        <v/>
      </c>
      <c r="I1004">
        <f>IF(C1004="","",AVERAGE(C989:C1004)*$N$5)</f>
        <v/>
      </c>
      <c r="J1004">
        <f>IF(C1004="","",J1003+$N$6*(C1004*$N$5-J1003))</f>
        <v/>
      </c>
      <c r="K1004">
        <f>IF(B1004="","",B1004-B1003)</f>
        <v/>
      </c>
    </row>
    <row r="1005">
      <c r="G1005">
        <f>IF(C1005="","",C1005*$N$5)</f>
        <v/>
      </c>
      <c r="H1005">
        <f>IF(C1005="","",AVERAGE(C1002:C1005)*$N$5)</f>
        <v/>
      </c>
      <c r="I1005">
        <f>IF(C1005="","",AVERAGE(C990:C1005)*$N$5)</f>
        <v/>
      </c>
      <c r="J1005">
        <f>IF(C1005="","",J1004+$N$6*(C1005*$N$5-J1004))</f>
        <v/>
      </c>
      <c r="K1005">
        <f>IF(B1005="","",B1005-B1004)</f>
        <v/>
      </c>
    </row>
    <row r="1006">
      <c r="G1006">
        <f>IF(C1006="","",C1006*$N$5)</f>
        <v/>
      </c>
      <c r="H1006">
        <f>IF(C1006="","",AVERAGE(C1003:C1006)*$N$5)</f>
        <v/>
      </c>
      <c r="I1006">
        <f>IF(C1006="","",AVERAGE(C991:C1006)*$N$5)</f>
        <v/>
      </c>
      <c r="J1006">
        <f>IF(C1006="","",J1005+$N$6*(C1006*$N$5-J1005))</f>
        <v/>
      </c>
      <c r="K1006">
        <f>IF(B1006="","",B1006-B1005)</f>
        <v/>
      </c>
    </row>
    <row r="1007">
      <c r="G1007">
        <f>IF(C1007="","",C1007*$N$5)</f>
        <v/>
      </c>
      <c r="H1007">
        <f>IF(C1007="","",AVERAGE(C1004:C1007)*$N$5)</f>
        <v/>
      </c>
      <c r="I1007">
        <f>IF(C1007="","",AVERAGE(C992:C1007)*$N$5)</f>
        <v/>
      </c>
      <c r="J1007">
        <f>IF(C1007="","",J1006+$N$6*(C1007*$N$5-J1006))</f>
        <v/>
      </c>
      <c r="K1007">
        <f>IF(B1007="","",B1007-B1006)</f>
        <v/>
      </c>
    </row>
    <row r="1008">
      <c r="G1008">
        <f>IF(C1008="","",C1008*$N$5)</f>
        <v/>
      </c>
      <c r="H1008">
        <f>IF(C1008="","",AVERAGE(C1005:C1008)*$N$5)</f>
        <v/>
      </c>
      <c r="I1008">
        <f>IF(C1008="","",AVERAGE(C993:C1008)*$N$5)</f>
        <v/>
      </c>
      <c r="J1008">
        <f>IF(C1008="","",J1007+$N$6*(C1008*$N$5-J1007))</f>
        <v/>
      </c>
      <c r="K1008">
        <f>IF(B1008="","",B1008-B1007)</f>
        <v/>
      </c>
    </row>
    <row r="1009">
      <c r="G1009">
        <f>IF(C1009="","",C1009*$N$5)</f>
        <v/>
      </c>
      <c r="H1009">
        <f>IF(C1009="","",AVERAGE(C1006:C1009)*$N$5)</f>
        <v/>
      </c>
      <c r="I1009">
        <f>IF(C1009="","",AVERAGE(C994:C1009)*$N$5)</f>
        <v/>
      </c>
      <c r="J1009">
        <f>IF(C1009="","",J1008+$N$6*(C1009*$N$5-J1008))</f>
        <v/>
      </c>
      <c r="K1009">
        <f>IF(B1009="","",B1009-B1008)</f>
        <v/>
      </c>
    </row>
    <row r="1010">
      <c r="G1010">
        <f>IF(C1010="","",C1010*$N$5)</f>
        <v/>
      </c>
      <c r="H1010">
        <f>IF(C1010="","",AVERAGE(C1007:C1010)*$N$5)</f>
        <v/>
      </c>
      <c r="I1010">
        <f>IF(C1010="","",AVERAGE(C995:C1010)*$N$5)</f>
        <v/>
      </c>
      <c r="J1010">
        <f>IF(C1010="","",J1009+$N$6*(C1010*$N$5-J1009))</f>
        <v/>
      </c>
      <c r="K1010">
        <f>IF(B1010="","",B1010-B1009)</f>
        <v/>
      </c>
    </row>
    <row r="1011">
      <c r="G1011">
        <f>IF(C1011="","",C1011*$N$5)</f>
        <v/>
      </c>
      <c r="H1011">
        <f>IF(C1011="","",AVERAGE(C1008:C1011)*$N$5)</f>
        <v/>
      </c>
      <c r="I1011">
        <f>IF(C1011="","",AVERAGE(C996:C1011)*$N$5)</f>
        <v/>
      </c>
      <c r="J1011">
        <f>IF(C1011="","",J1010+$N$6*(C1011*$N$5-J1010))</f>
        <v/>
      </c>
      <c r="K1011">
        <f>IF(B1011="","",B1011-B1010)</f>
        <v/>
      </c>
    </row>
    <row r="1012">
      <c r="G1012">
        <f>IF(C1012="","",C1012*$N$5)</f>
        <v/>
      </c>
      <c r="H1012">
        <f>IF(C1012="","",AVERAGE(C1009:C1012)*$N$5)</f>
        <v/>
      </c>
      <c r="I1012">
        <f>IF(C1012="","",AVERAGE(C997:C1012)*$N$5)</f>
        <v/>
      </c>
      <c r="J1012">
        <f>IF(C1012="","",J1011+$N$6*(C1012*$N$5-J1011))</f>
        <v/>
      </c>
      <c r="K1012">
        <f>IF(B1012="","",B1012-B1011)</f>
        <v/>
      </c>
    </row>
    <row r="1013">
      <c r="G1013">
        <f>IF(C1013="","",C1013*$N$5)</f>
        <v/>
      </c>
      <c r="H1013">
        <f>IF(C1013="","",AVERAGE(C1010:C1013)*$N$5)</f>
        <v/>
      </c>
      <c r="I1013">
        <f>IF(C1013="","",AVERAGE(C998:C1013)*$N$5)</f>
        <v/>
      </c>
      <c r="J1013">
        <f>IF(C1013="","",J1012+$N$6*(C1013*$N$5-J1012))</f>
        <v/>
      </c>
      <c r="K1013">
        <f>IF(B1013="","",B1013-B1012)</f>
        <v/>
      </c>
    </row>
    <row r="1014">
      <c r="G1014">
        <f>IF(C1014="","",C1014*$N$5)</f>
        <v/>
      </c>
      <c r="H1014">
        <f>IF(C1014="","",AVERAGE(C1011:C1014)*$N$5)</f>
        <v/>
      </c>
      <c r="I1014">
        <f>IF(C1014="","",AVERAGE(C999:C1014)*$N$5)</f>
        <v/>
      </c>
      <c r="J1014">
        <f>IF(C1014="","",J1013+$N$6*(C1014*$N$5-J1013))</f>
        <v/>
      </c>
      <c r="K1014">
        <f>IF(B1014="","",B1014-B1013)</f>
        <v/>
      </c>
    </row>
    <row r="1015">
      <c r="G1015">
        <f>IF(C1015="","",C1015*$N$5)</f>
        <v/>
      </c>
      <c r="H1015">
        <f>IF(C1015="","",AVERAGE(C1012:C1015)*$N$5)</f>
        <v/>
      </c>
      <c r="I1015">
        <f>IF(C1015="","",AVERAGE(C1000:C1015)*$N$5)</f>
        <v/>
      </c>
      <c r="J1015">
        <f>IF(C1015="","",J1014+$N$6*(C1015*$N$5-J1014))</f>
        <v/>
      </c>
      <c r="K1015">
        <f>IF(B1015="","",B1015-B1014)</f>
        <v/>
      </c>
    </row>
    <row r="1016">
      <c r="G1016">
        <f>IF(C1016="","",C1016*$N$5)</f>
        <v/>
      </c>
      <c r="H1016">
        <f>IF(C1016="","",AVERAGE(C1013:C1016)*$N$5)</f>
        <v/>
      </c>
      <c r="I1016">
        <f>IF(C1016="","",AVERAGE(C1001:C1016)*$N$5)</f>
        <v/>
      </c>
      <c r="J1016">
        <f>IF(C1016="","",J1015+$N$6*(C1016*$N$5-J1015))</f>
        <v/>
      </c>
      <c r="K1016">
        <f>IF(B1016="","",B1016-B1015)</f>
        <v/>
      </c>
    </row>
    <row r="1017">
      <c r="G1017">
        <f>IF(C1017="","",C1017*$N$5)</f>
        <v/>
      </c>
      <c r="H1017">
        <f>IF(C1017="","",AVERAGE(C1014:C1017)*$N$5)</f>
        <v/>
      </c>
      <c r="I1017">
        <f>IF(C1017="","",AVERAGE(C1002:C1017)*$N$5)</f>
        <v/>
      </c>
      <c r="J1017">
        <f>IF(C1017="","",J1016+$N$6*(C1017*$N$5-J1016))</f>
        <v/>
      </c>
      <c r="K1017">
        <f>IF(B1017="","",B1017-B1016)</f>
        <v/>
      </c>
    </row>
    <row r="1018">
      <c r="G1018">
        <f>IF(C1018="","",C1018*$N$5)</f>
        <v/>
      </c>
      <c r="H1018">
        <f>IF(C1018="","",AVERAGE(C1015:C1018)*$N$5)</f>
        <v/>
      </c>
      <c r="I1018">
        <f>IF(C1018="","",AVERAGE(C1003:C1018)*$N$5)</f>
        <v/>
      </c>
      <c r="J1018">
        <f>IF(C1018="","",J1017+$N$6*(C1018*$N$5-J1017))</f>
        <v/>
      </c>
      <c r="K1018">
        <f>IF(B1018="","",B1018-B1017)</f>
        <v/>
      </c>
    </row>
    <row r="1019">
      <c r="G1019">
        <f>IF(C1019="","",C1019*$N$5)</f>
        <v/>
      </c>
      <c r="H1019">
        <f>IF(C1019="","",AVERAGE(C1016:C1019)*$N$5)</f>
        <v/>
      </c>
      <c r="I1019">
        <f>IF(C1019="","",AVERAGE(C1004:C1019)*$N$5)</f>
        <v/>
      </c>
      <c r="J1019">
        <f>IF(C1019="","",J1018+$N$6*(C1019*$N$5-J1018))</f>
        <v/>
      </c>
      <c r="K1019">
        <f>IF(B1019="","",B1019-B1018)</f>
        <v/>
      </c>
    </row>
    <row r="1020">
      <c r="G1020">
        <f>IF(C1020="","",C1020*$N$5)</f>
        <v/>
      </c>
      <c r="H1020">
        <f>IF(C1020="","",AVERAGE(C1017:C1020)*$N$5)</f>
        <v/>
      </c>
      <c r="I1020">
        <f>IF(C1020="","",AVERAGE(C1005:C1020)*$N$5)</f>
        <v/>
      </c>
      <c r="J1020">
        <f>IF(C1020="","",J1019+$N$6*(C1020*$N$5-J1019))</f>
        <v/>
      </c>
      <c r="K1020">
        <f>IF(B1020="","",B1020-B1019)</f>
        <v/>
      </c>
    </row>
    <row r="1021">
      <c r="G1021">
        <f>IF(C1021="","",C1021*$N$5)</f>
        <v/>
      </c>
      <c r="H1021">
        <f>IF(C1021="","",AVERAGE(C1018:C1021)*$N$5)</f>
        <v/>
      </c>
      <c r="I1021">
        <f>IF(C1021="","",AVERAGE(C1006:C1021)*$N$5)</f>
        <v/>
      </c>
      <c r="J1021">
        <f>IF(C1021="","",J1020+$N$6*(C1021*$N$5-J1020))</f>
        <v/>
      </c>
      <c r="K1021">
        <f>IF(B1021="","",B1021-B1020)</f>
        <v/>
      </c>
    </row>
    <row r="1022">
      <c r="G1022">
        <f>IF(C1022="","",C1022*$N$5)</f>
        <v/>
      </c>
      <c r="H1022">
        <f>IF(C1022="","",AVERAGE(C1019:C1022)*$N$5)</f>
        <v/>
      </c>
      <c r="I1022">
        <f>IF(C1022="","",AVERAGE(C1007:C1022)*$N$5)</f>
        <v/>
      </c>
      <c r="J1022">
        <f>IF(C1022="","",J1021+$N$6*(C1022*$N$5-J1021))</f>
        <v/>
      </c>
      <c r="K1022">
        <f>IF(B1022="","",B1022-B1021)</f>
        <v/>
      </c>
    </row>
    <row r="1023">
      <c r="G1023">
        <f>IF(C1023="","",C1023*$N$5)</f>
        <v/>
      </c>
      <c r="H1023">
        <f>IF(C1023="","",AVERAGE(C1020:C1023)*$N$5)</f>
        <v/>
      </c>
      <c r="I1023">
        <f>IF(C1023="","",AVERAGE(C1008:C1023)*$N$5)</f>
        <v/>
      </c>
      <c r="J1023">
        <f>IF(C1023="","",J1022+$N$6*(C1023*$N$5-J1022))</f>
        <v/>
      </c>
      <c r="K1023">
        <f>IF(B1023="","",B1023-B1022)</f>
        <v/>
      </c>
    </row>
    <row r="1024">
      <c r="G1024">
        <f>IF(C1024="","",C1024*$N$5)</f>
        <v/>
      </c>
      <c r="H1024">
        <f>IF(C1024="","",AVERAGE(C1021:C1024)*$N$5)</f>
        <v/>
      </c>
      <c r="I1024">
        <f>IF(C1024="","",AVERAGE(C1009:C1024)*$N$5)</f>
        <v/>
      </c>
      <c r="J1024">
        <f>IF(C1024="","",J1023+$N$6*(C1024*$N$5-J1023))</f>
        <v/>
      </c>
      <c r="K1024">
        <f>IF(B1024="","",B1024-B1023)</f>
        <v/>
      </c>
    </row>
    <row r="1025">
      <c r="G1025">
        <f>IF(C1025="","",C1025*$N$5)</f>
        <v/>
      </c>
      <c r="H1025">
        <f>IF(C1025="","",AVERAGE(C1022:C1025)*$N$5)</f>
        <v/>
      </c>
      <c r="I1025">
        <f>IF(C1025="","",AVERAGE(C1010:C1025)*$N$5)</f>
        <v/>
      </c>
      <c r="J1025">
        <f>IF(C1025="","",J1024+$N$6*(C1025*$N$5-J1024))</f>
        <v/>
      </c>
      <c r="K1025">
        <f>IF(B1025="","",B1025-B1024)</f>
        <v/>
      </c>
    </row>
    <row r="1026">
      <c r="G1026">
        <f>IF(C1026="","",C1026*$N$5)</f>
        <v/>
      </c>
      <c r="H1026">
        <f>IF(C1026="","",AVERAGE(C1023:C1026)*$N$5)</f>
        <v/>
      </c>
      <c r="I1026">
        <f>IF(C1026="","",AVERAGE(C1011:C1026)*$N$5)</f>
        <v/>
      </c>
      <c r="J1026">
        <f>IF(C1026="","",J1025+$N$6*(C1026*$N$5-J1025))</f>
        <v/>
      </c>
      <c r="K1026">
        <f>IF(B1026="","",B1026-B1025)</f>
        <v/>
      </c>
    </row>
    <row r="1027">
      <c r="G1027">
        <f>IF(C1027="","",C1027*$N$5)</f>
        <v/>
      </c>
      <c r="H1027">
        <f>IF(C1027="","",AVERAGE(C1024:C1027)*$N$5)</f>
        <v/>
      </c>
      <c r="I1027">
        <f>IF(C1027="","",AVERAGE(C1012:C1027)*$N$5)</f>
        <v/>
      </c>
      <c r="J1027">
        <f>IF(C1027="","",J1026+$N$6*(C1027*$N$5-J1026))</f>
        <v/>
      </c>
      <c r="K1027">
        <f>IF(B1027="","",B1027-B1026)</f>
        <v/>
      </c>
    </row>
    <row r="1028">
      <c r="G1028">
        <f>IF(C1028="","",C1028*$N$5)</f>
        <v/>
      </c>
      <c r="H1028">
        <f>IF(C1028="","",AVERAGE(C1025:C1028)*$N$5)</f>
        <v/>
      </c>
      <c r="I1028">
        <f>IF(C1028="","",AVERAGE(C1013:C1028)*$N$5)</f>
        <v/>
      </c>
      <c r="J1028">
        <f>IF(C1028="","",J1027+$N$6*(C1028*$N$5-J1027))</f>
        <v/>
      </c>
      <c r="K1028">
        <f>IF(B1028="","",B1028-B1027)</f>
        <v/>
      </c>
    </row>
    <row r="1029">
      <c r="G1029">
        <f>IF(C1029="","",C1029*$N$5)</f>
        <v/>
      </c>
      <c r="H1029">
        <f>IF(C1029="","",AVERAGE(C1026:C1029)*$N$5)</f>
        <v/>
      </c>
      <c r="I1029">
        <f>IF(C1029="","",AVERAGE(C1014:C1029)*$N$5)</f>
        <v/>
      </c>
      <c r="J1029">
        <f>IF(C1029="","",J1028+$N$6*(C1029*$N$5-J1028))</f>
        <v/>
      </c>
      <c r="K1029">
        <f>IF(B1029="","",B1029-B1028)</f>
        <v/>
      </c>
    </row>
    <row r="1030">
      <c r="G1030">
        <f>IF(C1030="","",C1030*$N$5)</f>
        <v/>
      </c>
      <c r="H1030">
        <f>IF(C1030="","",AVERAGE(C1027:C1030)*$N$5)</f>
        <v/>
      </c>
      <c r="I1030">
        <f>IF(C1030="","",AVERAGE(C1015:C1030)*$N$5)</f>
        <v/>
      </c>
      <c r="J1030">
        <f>IF(C1030="","",J1029+$N$6*(C1030*$N$5-J1029))</f>
        <v/>
      </c>
      <c r="K1030">
        <f>IF(B1030="","",B1030-B1029)</f>
        <v/>
      </c>
    </row>
    <row r="1031">
      <c r="G1031">
        <f>IF(C1031="","",C1031*$N$5)</f>
        <v/>
      </c>
      <c r="H1031">
        <f>IF(C1031="","",AVERAGE(C1028:C1031)*$N$5)</f>
        <v/>
      </c>
      <c r="I1031">
        <f>IF(C1031="","",AVERAGE(C1016:C1031)*$N$5)</f>
        <v/>
      </c>
      <c r="J1031">
        <f>IF(C1031="","",J1030+$N$6*(C1031*$N$5-J1030))</f>
        <v/>
      </c>
      <c r="K1031">
        <f>IF(B1031="","",B1031-B1030)</f>
        <v/>
      </c>
    </row>
    <row r="1032">
      <c r="G1032">
        <f>IF(C1032="","",C1032*$N$5)</f>
        <v/>
      </c>
      <c r="H1032">
        <f>IF(C1032="","",AVERAGE(C1029:C1032)*$N$5)</f>
        <v/>
      </c>
      <c r="I1032">
        <f>IF(C1032="","",AVERAGE(C1017:C1032)*$N$5)</f>
        <v/>
      </c>
      <c r="J1032">
        <f>IF(C1032="","",J1031+$N$6*(C1032*$N$5-J1031))</f>
        <v/>
      </c>
      <c r="K1032">
        <f>IF(B1032="","",B1032-B1031)</f>
        <v/>
      </c>
    </row>
    <row r="1033">
      <c r="G1033">
        <f>IF(C1033="","",C1033*$N$5)</f>
        <v/>
      </c>
      <c r="H1033">
        <f>IF(C1033="","",AVERAGE(C1030:C1033)*$N$5)</f>
        <v/>
      </c>
      <c r="I1033">
        <f>IF(C1033="","",AVERAGE(C1018:C1033)*$N$5)</f>
        <v/>
      </c>
      <c r="J1033">
        <f>IF(C1033="","",J1032+$N$6*(C1033*$N$5-J1032))</f>
        <v/>
      </c>
      <c r="K1033">
        <f>IF(B1033="","",B1033-B1032)</f>
        <v/>
      </c>
    </row>
    <row r="1034">
      <c r="G1034">
        <f>IF(C1034="","",C1034*$N$5)</f>
        <v/>
      </c>
      <c r="H1034">
        <f>IF(C1034="","",AVERAGE(C1031:C1034)*$N$5)</f>
        <v/>
      </c>
      <c r="I1034">
        <f>IF(C1034="","",AVERAGE(C1019:C1034)*$N$5)</f>
        <v/>
      </c>
      <c r="J1034">
        <f>IF(C1034="","",J1033+$N$6*(C1034*$N$5-J1033))</f>
        <v/>
      </c>
      <c r="K1034">
        <f>IF(B1034="","",B1034-B1033)</f>
        <v/>
      </c>
    </row>
    <row r="1035">
      <c r="G1035">
        <f>IF(C1035="","",C1035*$N$5)</f>
        <v/>
      </c>
      <c r="H1035">
        <f>IF(C1035="","",AVERAGE(C1032:C1035)*$N$5)</f>
        <v/>
      </c>
      <c r="I1035">
        <f>IF(C1035="","",AVERAGE(C1020:C1035)*$N$5)</f>
        <v/>
      </c>
      <c r="J1035">
        <f>IF(C1035="","",J1034+$N$6*(C1035*$N$5-J1034))</f>
        <v/>
      </c>
      <c r="K1035">
        <f>IF(B1035="","",B1035-B1034)</f>
        <v/>
      </c>
    </row>
    <row r="1036">
      <c r="G1036">
        <f>IF(C1036="","",C1036*$N$5)</f>
        <v/>
      </c>
      <c r="H1036">
        <f>IF(C1036="","",AVERAGE(C1033:C1036)*$N$5)</f>
        <v/>
      </c>
      <c r="I1036">
        <f>IF(C1036="","",AVERAGE(C1021:C1036)*$N$5)</f>
        <v/>
      </c>
      <c r="J1036">
        <f>IF(C1036="","",J1035+$N$6*(C1036*$N$5-J1035))</f>
        <v/>
      </c>
      <c r="K1036">
        <f>IF(B1036="","",B1036-B1035)</f>
        <v/>
      </c>
    </row>
    <row r="1037">
      <c r="G1037">
        <f>IF(C1037="","",C1037*$N$5)</f>
        <v/>
      </c>
      <c r="H1037">
        <f>IF(C1037="","",AVERAGE(C1034:C1037)*$N$5)</f>
        <v/>
      </c>
      <c r="I1037">
        <f>IF(C1037="","",AVERAGE(C1022:C1037)*$N$5)</f>
        <v/>
      </c>
      <c r="J1037">
        <f>IF(C1037="","",J1036+$N$6*(C1037*$N$5-J1036))</f>
        <v/>
      </c>
      <c r="K1037">
        <f>IF(B1037="","",B1037-B1036)</f>
        <v/>
      </c>
    </row>
    <row r="1038">
      <c r="G1038">
        <f>IF(C1038="","",C1038*$N$5)</f>
        <v/>
      </c>
      <c r="H1038">
        <f>IF(C1038="","",AVERAGE(C1035:C1038)*$N$5)</f>
        <v/>
      </c>
      <c r="I1038">
        <f>IF(C1038="","",AVERAGE(C1023:C1038)*$N$5)</f>
        <v/>
      </c>
      <c r="J1038">
        <f>IF(C1038="","",J1037+$N$6*(C1038*$N$5-J1037))</f>
        <v/>
      </c>
      <c r="K1038">
        <f>IF(B1038="","",B1038-B1037)</f>
        <v/>
      </c>
    </row>
    <row r="1039">
      <c r="G1039">
        <f>IF(C1039="","",C1039*$N$5)</f>
        <v/>
      </c>
      <c r="H1039">
        <f>IF(C1039="","",AVERAGE(C1036:C1039)*$N$5)</f>
        <v/>
      </c>
      <c r="I1039">
        <f>IF(C1039="","",AVERAGE(C1024:C1039)*$N$5)</f>
        <v/>
      </c>
      <c r="J1039">
        <f>IF(C1039="","",J1038+$N$6*(C1039*$N$5-J1038))</f>
        <v/>
      </c>
      <c r="K1039">
        <f>IF(B1039="","",B1039-B1038)</f>
        <v/>
      </c>
    </row>
    <row r="1040">
      <c r="G1040">
        <f>IF(C1040="","",C1040*$N$5)</f>
        <v/>
      </c>
      <c r="H1040">
        <f>IF(C1040="","",AVERAGE(C1037:C1040)*$N$5)</f>
        <v/>
      </c>
      <c r="I1040">
        <f>IF(C1040="","",AVERAGE(C1025:C1040)*$N$5)</f>
        <v/>
      </c>
      <c r="J1040">
        <f>IF(C1040="","",J1039+$N$6*(C1040*$N$5-J1039))</f>
        <v/>
      </c>
      <c r="K1040">
        <f>IF(B1040="","",B1040-B1039)</f>
        <v/>
      </c>
    </row>
    <row r="1041">
      <c r="G1041">
        <f>IF(C1041="","",C1041*$N$5)</f>
        <v/>
      </c>
      <c r="H1041">
        <f>IF(C1041="","",AVERAGE(C1038:C1041)*$N$5)</f>
        <v/>
      </c>
      <c r="I1041">
        <f>IF(C1041="","",AVERAGE(C1026:C1041)*$N$5)</f>
        <v/>
      </c>
      <c r="J1041">
        <f>IF(C1041="","",J1040+$N$6*(C1041*$N$5-J1040))</f>
        <v/>
      </c>
      <c r="K1041">
        <f>IF(B1041="","",B1041-B1040)</f>
        <v/>
      </c>
    </row>
    <row r="1042">
      <c r="G1042">
        <f>IF(C1042="","",C1042*$N$5)</f>
        <v/>
      </c>
      <c r="H1042">
        <f>IF(C1042="","",AVERAGE(C1039:C1042)*$N$5)</f>
        <v/>
      </c>
      <c r="I1042">
        <f>IF(C1042="","",AVERAGE(C1027:C1042)*$N$5)</f>
        <v/>
      </c>
      <c r="J1042">
        <f>IF(C1042="","",J1041+$N$6*(C1042*$N$5-J1041))</f>
        <v/>
      </c>
      <c r="K1042">
        <f>IF(B1042="","",B1042-B1041)</f>
        <v/>
      </c>
    </row>
    <row r="1043">
      <c r="G1043">
        <f>IF(C1043="","",C1043*$N$5)</f>
        <v/>
      </c>
      <c r="H1043">
        <f>IF(C1043="","",AVERAGE(C1040:C1043)*$N$5)</f>
        <v/>
      </c>
      <c r="I1043">
        <f>IF(C1043="","",AVERAGE(C1028:C1043)*$N$5)</f>
        <v/>
      </c>
      <c r="J1043">
        <f>IF(C1043="","",J1042+$N$6*(C1043*$N$5-J1042))</f>
        <v/>
      </c>
      <c r="K1043">
        <f>IF(B1043="","",B1043-B1042)</f>
        <v/>
      </c>
    </row>
    <row r="1044">
      <c r="G1044">
        <f>IF(C1044="","",C1044*$N$5)</f>
        <v/>
      </c>
      <c r="H1044">
        <f>IF(C1044="","",AVERAGE(C1041:C1044)*$N$5)</f>
        <v/>
      </c>
      <c r="I1044">
        <f>IF(C1044="","",AVERAGE(C1029:C1044)*$N$5)</f>
        <v/>
      </c>
      <c r="J1044">
        <f>IF(C1044="","",J1043+$N$6*(C1044*$N$5-J1043))</f>
        <v/>
      </c>
      <c r="K1044">
        <f>IF(B1044="","",B1044-B1043)</f>
        <v/>
      </c>
    </row>
    <row r="1045">
      <c r="G1045">
        <f>IF(C1045="","",C1045*$N$5)</f>
        <v/>
      </c>
      <c r="H1045">
        <f>IF(C1045="","",AVERAGE(C1042:C1045)*$N$5)</f>
        <v/>
      </c>
      <c r="I1045">
        <f>IF(C1045="","",AVERAGE(C1030:C1045)*$N$5)</f>
        <v/>
      </c>
      <c r="J1045">
        <f>IF(C1045="","",J1044+$N$6*(C1045*$N$5-J1044))</f>
        <v/>
      </c>
      <c r="K1045">
        <f>IF(B1045="","",B1045-B1044)</f>
        <v/>
      </c>
    </row>
    <row r="1046">
      <c r="G1046">
        <f>IF(C1046="","",C1046*$N$5)</f>
        <v/>
      </c>
      <c r="H1046">
        <f>IF(C1046="","",AVERAGE(C1043:C1046)*$N$5)</f>
        <v/>
      </c>
      <c r="I1046">
        <f>IF(C1046="","",AVERAGE(C1031:C1046)*$N$5)</f>
        <v/>
      </c>
      <c r="J1046">
        <f>IF(C1046="","",J1045+$N$6*(C1046*$N$5-J1045))</f>
        <v/>
      </c>
      <c r="K1046">
        <f>IF(B1046="","",B1046-B1045)</f>
        <v/>
      </c>
    </row>
    <row r="1047">
      <c r="G1047">
        <f>IF(C1047="","",C1047*$N$5)</f>
        <v/>
      </c>
      <c r="H1047">
        <f>IF(C1047="","",AVERAGE(C1044:C1047)*$N$5)</f>
        <v/>
      </c>
      <c r="I1047">
        <f>IF(C1047="","",AVERAGE(C1032:C1047)*$N$5)</f>
        <v/>
      </c>
      <c r="J1047">
        <f>IF(C1047="","",J1046+$N$6*(C1047*$N$5-J1046))</f>
        <v/>
      </c>
      <c r="K1047">
        <f>IF(B1047="","",B1047-B1046)</f>
        <v/>
      </c>
    </row>
    <row r="1048">
      <c r="G1048">
        <f>IF(C1048="","",C1048*$N$5)</f>
        <v/>
      </c>
      <c r="H1048">
        <f>IF(C1048="","",AVERAGE(C1045:C1048)*$N$5)</f>
        <v/>
      </c>
      <c r="I1048">
        <f>IF(C1048="","",AVERAGE(C1033:C1048)*$N$5)</f>
        <v/>
      </c>
      <c r="J1048">
        <f>IF(C1048="","",J1047+$N$6*(C1048*$N$5-J1047))</f>
        <v/>
      </c>
      <c r="K1048">
        <f>IF(B1048="","",B1048-B1047)</f>
        <v/>
      </c>
    </row>
    <row r="1049">
      <c r="G1049">
        <f>IF(C1049="","",C1049*$N$5)</f>
        <v/>
      </c>
      <c r="H1049">
        <f>IF(C1049="","",AVERAGE(C1046:C1049)*$N$5)</f>
        <v/>
      </c>
      <c r="I1049">
        <f>IF(C1049="","",AVERAGE(C1034:C1049)*$N$5)</f>
        <v/>
      </c>
      <c r="J1049">
        <f>IF(C1049="","",J1048+$N$6*(C1049*$N$5-J1048))</f>
        <v/>
      </c>
      <c r="K1049">
        <f>IF(B1049="","",B1049-B1048)</f>
        <v/>
      </c>
    </row>
    <row r="1050">
      <c r="G1050">
        <f>IF(C1050="","",C1050*$N$5)</f>
        <v/>
      </c>
      <c r="H1050">
        <f>IF(C1050="","",AVERAGE(C1047:C1050)*$N$5)</f>
        <v/>
      </c>
      <c r="I1050">
        <f>IF(C1050="","",AVERAGE(C1035:C1050)*$N$5)</f>
        <v/>
      </c>
      <c r="J1050">
        <f>IF(C1050="","",J1049+$N$6*(C1050*$N$5-J1049))</f>
        <v/>
      </c>
      <c r="K1050">
        <f>IF(B1050="","",B1050-B1049)</f>
        <v/>
      </c>
    </row>
    <row r="1051">
      <c r="G1051">
        <f>IF(C1051="","",C1051*$N$5)</f>
        <v/>
      </c>
      <c r="H1051">
        <f>IF(C1051="","",AVERAGE(C1048:C1051)*$N$5)</f>
        <v/>
      </c>
      <c r="I1051">
        <f>IF(C1051="","",AVERAGE(C1036:C1051)*$N$5)</f>
        <v/>
      </c>
      <c r="J1051">
        <f>IF(C1051="","",J1050+$N$6*(C1051*$N$5-J1050))</f>
        <v/>
      </c>
      <c r="K1051">
        <f>IF(B1051="","",B1051-B1050)</f>
        <v/>
      </c>
    </row>
    <row r="1052">
      <c r="G1052">
        <f>IF(C1052="","",C1052*$N$5)</f>
        <v/>
      </c>
      <c r="H1052">
        <f>IF(C1052="","",AVERAGE(C1049:C1052)*$N$5)</f>
        <v/>
      </c>
      <c r="I1052">
        <f>IF(C1052="","",AVERAGE(C1037:C1052)*$N$5)</f>
        <v/>
      </c>
      <c r="J1052">
        <f>IF(C1052="","",J1051+$N$6*(C1052*$N$5-J1051))</f>
        <v/>
      </c>
      <c r="K1052">
        <f>IF(B1052="","",B1052-B1051)</f>
        <v/>
      </c>
    </row>
    <row r="1053">
      <c r="G1053">
        <f>IF(C1053="","",C1053*$N$5)</f>
        <v/>
      </c>
      <c r="H1053">
        <f>IF(C1053="","",AVERAGE(C1050:C1053)*$N$5)</f>
        <v/>
      </c>
      <c r="I1053">
        <f>IF(C1053="","",AVERAGE(C1038:C1053)*$N$5)</f>
        <v/>
      </c>
      <c r="J1053">
        <f>IF(C1053="","",J1052+$N$6*(C1053*$N$5-J1052))</f>
        <v/>
      </c>
      <c r="K1053">
        <f>IF(B1053="","",B1053-B1052)</f>
        <v/>
      </c>
    </row>
    <row r="1054">
      <c r="G1054">
        <f>IF(C1054="","",C1054*$N$5)</f>
        <v/>
      </c>
      <c r="H1054">
        <f>IF(C1054="","",AVERAGE(C1051:C1054)*$N$5)</f>
        <v/>
      </c>
      <c r="I1054">
        <f>IF(C1054="","",AVERAGE(C1039:C1054)*$N$5)</f>
        <v/>
      </c>
      <c r="J1054">
        <f>IF(C1054="","",J1053+$N$6*(C1054*$N$5-J1053))</f>
        <v/>
      </c>
      <c r="K1054">
        <f>IF(B1054="","",B1054-B1053)</f>
        <v/>
      </c>
    </row>
    <row r="1055">
      <c r="G1055">
        <f>IF(C1055="","",C1055*$N$5)</f>
        <v/>
      </c>
      <c r="H1055">
        <f>IF(C1055="","",AVERAGE(C1052:C1055)*$N$5)</f>
        <v/>
      </c>
      <c r="I1055">
        <f>IF(C1055="","",AVERAGE(C1040:C1055)*$N$5)</f>
        <v/>
      </c>
      <c r="J1055">
        <f>IF(C1055="","",J1054+$N$6*(C1055*$N$5-J1054))</f>
        <v/>
      </c>
      <c r="K1055">
        <f>IF(B1055="","",B1055-B1054)</f>
        <v/>
      </c>
    </row>
    <row r="1056">
      <c r="G1056">
        <f>IF(C1056="","",C1056*$N$5)</f>
        <v/>
      </c>
      <c r="H1056">
        <f>IF(C1056="","",AVERAGE(C1053:C1056)*$N$5)</f>
        <v/>
      </c>
      <c r="I1056">
        <f>IF(C1056="","",AVERAGE(C1041:C1056)*$N$5)</f>
        <v/>
      </c>
      <c r="J1056">
        <f>IF(C1056="","",J1055+$N$6*(C1056*$N$5-J1055))</f>
        <v/>
      </c>
      <c r="K1056">
        <f>IF(B1056="","",B1056-B1055)</f>
        <v/>
      </c>
    </row>
    <row r="1057">
      <c r="G1057">
        <f>IF(C1057="","",C1057*$N$5)</f>
        <v/>
      </c>
      <c r="H1057">
        <f>IF(C1057="","",AVERAGE(C1054:C1057)*$N$5)</f>
        <v/>
      </c>
      <c r="I1057">
        <f>IF(C1057="","",AVERAGE(C1042:C1057)*$N$5)</f>
        <v/>
      </c>
      <c r="J1057">
        <f>IF(C1057="","",J1056+$N$6*(C1057*$N$5-J1056))</f>
        <v/>
      </c>
      <c r="K1057">
        <f>IF(B1057="","",B1057-B1056)</f>
        <v/>
      </c>
    </row>
    <row r="1058">
      <c r="G1058">
        <f>IF(C1058="","",C1058*$N$5)</f>
        <v/>
      </c>
      <c r="H1058">
        <f>IF(C1058="","",AVERAGE(C1055:C1058)*$N$5)</f>
        <v/>
      </c>
      <c r="I1058">
        <f>IF(C1058="","",AVERAGE(C1043:C1058)*$N$5)</f>
        <v/>
      </c>
      <c r="J1058">
        <f>IF(C1058="","",J1057+$N$6*(C1058*$N$5-J1057))</f>
        <v/>
      </c>
      <c r="K1058">
        <f>IF(B1058="","",B1058-B1057)</f>
        <v/>
      </c>
    </row>
    <row r="1059">
      <c r="G1059">
        <f>IF(C1059="","",C1059*$N$5)</f>
        <v/>
      </c>
      <c r="H1059">
        <f>IF(C1059="","",AVERAGE(C1056:C1059)*$N$5)</f>
        <v/>
      </c>
      <c r="I1059">
        <f>IF(C1059="","",AVERAGE(C1044:C1059)*$N$5)</f>
        <v/>
      </c>
      <c r="J1059">
        <f>IF(C1059="","",J1058+$N$6*(C1059*$N$5-J1058))</f>
        <v/>
      </c>
      <c r="K1059">
        <f>IF(B1059="","",B1059-B1058)</f>
        <v/>
      </c>
    </row>
    <row r="1060">
      <c r="G1060">
        <f>IF(C1060="","",C1060*$N$5)</f>
        <v/>
      </c>
      <c r="H1060">
        <f>IF(C1060="","",AVERAGE(C1057:C1060)*$N$5)</f>
        <v/>
      </c>
      <c r="I1060">
        <f>IF(C1060="","",AVERAGE(C1045:C1060)*$N$5)</f>
        <v/>
      </c>
      <c r="J1060">
        <f>IF(C1060="","",J1059+$N$6*(C1060*$N$5-J1059))</f>
        <v/>
      </c>
      <c r="K1060">
        <f>IF(B1060="","",B1060-B1059)</f>
        <v/>
      </c>
    </row>
    <row r="1061">
      <c r="G1061">
        <f>IF(C1061="","",C1061*$N$5)</f>
        <v/>
      </c>
      <c r="H1061">
        <f>IF(C1061="","",AVERAGE(C1058:C1061)*$N$5)</f>
        <v/>
      </c>
      <c r="I1061">
        <f>IF(C1061="","",AVERAGE(C1046:C1061)*$N$5)</f>
        <v/>
      </c>
      <c r="J1061">
        <f>IF(C1061="","",J1060+$N$6*(C1061*$N$5-J1060))</f>
        <v/>
      </c>
      <c r="K1061">
        <f>IF(B1061="","",B1061-B1060)</f>
        <v/>
      </c>
    </row>
    <row r="1062">
      <c r="G1062">
        <f>IF(C1062="","",C1062*$N$5)</f>
        <v/>
      </c>
      <c r="H1062">
        <f>IF(C1062="","",AVERAGE(C1059:C1062)*$N$5)</f>
        <v/>
      </c>
      <c r="I1062">
        <f>IF(C1062="","",AVERAGE(C1047:C1062)*$N$5)</f>
        <v/>
      </c>
      <c r="J1062">
        <f>IF(C1062="","",J1061+$N$6*(C1062*$N$5-J1061))</f>
        <v/>
      </c>
      <c r="K1062">
        <f>IF(B1062="","",B1062-B1061)</f>
        <v/>
      </c>
    </row>
    <row r="1063">
      <c r="G1063">
        <f>IF(C1063="","",C1063*$N$5)</f>
        <v/>
      </c>
      <c r="H1063">
        <f>IF(C1063="","",AVERAGE(C1060:C1063)*$N$5)</f>
        <v/>
      </c>
      <c r="I1063">
        <f>IF(C1063="","",AVERAGE(C1048:C1063)*$N$5)</f>
        <v/>
      </c>
      <c r="J1063">
        <f>IF(C1063="","",J1062+$N$6*(C1063*$N$5-J1062))</f>
        <v/>
      </c>
      <c r="K1063">
        <f>IF(B1063="","",B1063-B1062)</f>
        <v/>
      </c>
    </row>
    <row r="1064">
      <c r="G1064">
        <f>IF(C1064="","",C1064*$N$5)</f>
        <v/>
      </c>
      <c r="H1064">
        <f>IF(C1064="","",AVERAGE(C1061:C1064)*$N$5)</f>
        <v/>
      </c>
      <c r="I1064">
        <f>IF(C1064="","",AVERAGE(C1049:C1064)*$N$5)</f>
        <v/>
      </c>
      <c r="J1064">
        <f>IF(C1064="","",J1063+$N$6*(C1064*$N$5-J1063))</f>
        <v/>
      </c>
      <c r="K1064">
        <f>IF(B1064="","",B1064-B1063)</f>
        <v/>
      </c>
    </row>
    <row r="1065">
      <c r="G1065">
        <f>IF(C1065="","",C1065*$N$5)</f>
        <v/>
      </c>
      <c r="H1065">
        <f>IF(C1065="","",AVERAGE(C1062:C1065)*$N$5)</f>
        <v/>
      </c>
      <c r="I1065">
        <f>IF(C1065="","",AVERAGE(C1050:C1065)*$N$5)</f>
        <v/>
      </c>
      <c r="J1065">
        <f>IF(C1065="","",J1064+$N$6*(C1065*$N$5-J1064))</f>
        <v/>
      </c>
      <c r="K1065">
        <f>IF(B1065="","",B1065-B1064)</f>
        <v/>
      </c>
    </row>
    <row r="1066">
      <c r="G1066">
        <f>IF(C1066="","",C1066*$N$5)</f>
        <v/>
      </c>
      <c r="H1066">
        <f>IF(C1066="","",AVERAGE(C1063:C1066)*$N$5)</f>
        <v/>
      </c>
      <c r="I1066">
        <f>IF(C1066="","",AVERAGE(C1051:C1066)*$N$5)</f>
        <v/>
      </c>
      <c r="J1066">
        <f>IF(C1066="","",J1065+$N$6*(C1066*$N$5-J1065))</f>
        <v/>
      </c>
      <c r="K1066">
        <f>IF(B1066="","",B1066-B1065)</f>
        <v/>
      </c>
    </row>
    <row r="1067">
      <c r="G1067">
        <f>IF(C1067="","",C1067*$N$5)</f>
        <v/>
      </c>
      <c r="H1067">
        <f>IF(C1067="","",AVERAGE(C1064:C1067)*$N$5)</f>
        <v/>
      </c>
      <c r="I1067">
        <f>IF(C1067="","",AVERAGE(C1052:C1067)*$N$5)</f>
        <v/>
      </c>
      <c r="J1067">
        <f>IF(C1067="","",J1066+$N$6*(C1067*$N$5-J1066))</f>
        <v/>
      </c>
      <c r="K1067">
        <f>IF(B1067="","",B1067-B1066)</f>
        <v/>
      </c>
    </row>
    <row r="1068">
      <c r="G1068">
        <f>IF(C1068="","",C1068*$N$5)</f>
        <v/>
      </c>
      <c r="H1068">
        <f>IF(C1068="","",AVERAGE(C1065:C1068)*$N$5)</f>
        <v/>
      </c>
      <c r="I1068">
        <f>IF(C1068="","",AVERAGE(C1053:C1068)*$N$5)</f>
        <v/>
      </c>
      <c r="J1068">
        <f>IF(C1068="","",J1067+$N$6*(C1068*$N$5-J1067))</f>
        <v/>
      </c>
      <c r="K1068">
        <f>IF(B1068="","",B1068-B1067)</f>
        <v/>
      </c>
    </row>
    <row r="1069">
      <c r="G1069">
        <f>IF(C1069="","",C1069*$N$5)</f>
        <v/>
      </c>
      <c r="H1069">
        <f>IF(C1069="","",AVERAGE(C1066:C1069)*$N$5)</f>
        <v/>
      </c>
      <c r="I1069">
        <f>IF(C1069="","",AVERAGE(C1054:C1069)*$N$5)</f>
        <v/>
      </c>
      <c r="J1069">
        <f>IF(C1069="","",J1068+$N$6*(C1069*$N$5-J1068))</f>
        <v/>
      </c>
      <c r="K1069">
        <f>IF(B1069="","",B1069-B1068)</f>
        <v/>
      </c>
    </row>
    <row r="1070">
      <c r="G1070">
        <f>IF(C1070="","",C1070*$N$5)</f>
        <v/>
      </c>
      <c r="H1070">
        <f>IF(C1070="","",AVERAGE(C1067:C1070)*$N$5)</f>
        <v/>
      </c>
      <c r="I1070">
        <f>IF(C1070="","",AVERAGE(C1055:C1070)*$N$5)</f>
        <v/>
      </c>
      <c r="J1070">
        <f>IF(C1070="","",J1069+$N$6*(C1070*$N$5-J1069))</f>
        <v/>
      </c>
      <c r="K1070">
        <f>IF(B1070="","",B1070-B1069)</f>
        <v/>
      </c>
    </row>
    <row r="1071">
      <c r="G1071">
        <f>IF(C1071="","",C1071*$N$5)</f>
        <v/>
      </c>
      <c r="H1071">
        <f>IF(C1071="","",AVERAGE(C1068:C1071)*$N$5)</f>
        <v/>
      </c>
      <c r="I1071">
        <f>IF(C1071="","",AVERAGE(C1056:C1071)*$N$5)</f>
        <v/>
      </c>
      <c r="J1071">
        <f>IF(C1071="","",J1070+$N$6*(C1071*$N$5-J1070))</f>
        <v/>
      </c>
      <c r="K1071">
        <f>IF(B1071="","",B1071-B1070)</f>
        <v/>
      </c>
    </row>
    <row r="1072">
      <c r="G1072">
        <f>IF(C1072="","",C1072*$N$5)</f>
        <v/>
      </c>
      <c r="H1072">
        <f>IF(C1072="","",AVERAGE(C1069:C1072)*$N$5)</f>
        <v/>
      </c>
      <c r="I1072">
        <f>IF(C1072="","",AVERAGE(C1057:C1072)*$N$5)</f>
        <v/>
      </c>
      <c r="J1072">
        <f>IF(C1072="","",J1071+$N$6*(C1072*$N$5-J1071))</f>
        <v/>
      </c>
      <c r="K1072">
        <f>IF(B1072="","",B1072-B1071)</f>
        <v/>
      </c>
    </row>
    <row r="1073">
      <c r="G1073">
        <f>IF(C1073="","",C1073*$N$5)</f>
        <v/>
      </c>
      <c r="H1073">
        <f>IF(C1073="","",AVERAGE(C1070:C1073)*$N$5)</f>
        <v/>
      </c>
      <c r="I1073">
        <f>IF(C1073="","",AVERAGE(C1058:C1073)*$N$5)</f>
        <v/>
      </c>
      <c r="J1073">
        <f>IF(C1073="","",J1072+$N$6*(C1073*$N$5-J1072))</f>
        <v/>
      </c>
      <c r="K1073">
        <f>IF(B1073="","",B1073-B1072)</f>
        <v/>
      </c>
    </row>
    <row r="1074">
      <c r="G1074">
        <f>IF(C1074="","",C1074*$N$5)</f>
        <v/>
      </c>
      <c r="H1074">
        <f>IF(C1074="","",AVERAGE(C1071:C1074)*$N$5)</f>
        <v/>
      </c>
      <c r="I1074">
        <f>IF(C1074="","",AVERAGE(C1059:C1074)*$N$5)</f>
        <v/>
      </c>
      <c r="J1074">
        <f>IF(C1074="","",J1073+$N$6*(C1074*$N$5-J1073))</f>
        <v/>
      </c>
      <c r="K1074">
        <f>IF(B1074="","",B1074-B1073)</f>
        <v/>
      </c>
    </row>
    <row r="1075">
      <c r="G1075">
        <f>IF(C1075="","",C1075*$N$5)</f>
        <v/>
      </c>
      <c r="H1075">
        <f>IF(C1075="","",AVERAGE(C1072:C1075)*$N$5)</f>
        <v/>
      </c>
      <c r="I1075">
        <f>IF(C1075="","",AVERAGE(C1060:C1075)*$N$5)</f>
        <v/>
      </c>
      <c r="J1075">
        <f>IF(C1075="","",J1074+$N$6*(C1075*$N$5-J1074))</f>
        <v/>
      </c>
      <c r="K1075">
        <f>IF(B1075="","",B1075-B1074)</f>
        <v/>
      </c>
    </row>
    <row r="1076">
      <c r="G1076">
        <f>IF(C1076="","",C1076*$N$5)</f>
        <v/>
      </c>
      <c r="H1076">
        <f>IF(C1076="","",AVERAGE(C1073:C1076)*$N$5)</f>
        <v/>
      </c>
      <c r="I1076">
        <f>IF(C1076="","",AVERAGE(C1061:C1076)*$N$5)</f>
        <v/>
      </c>
      <c r="J1076">
        <f>IF(C1076="","",J1075+$N$6*(C1076*$N$5-J1075))</f>
        <v/>
      </c>
      <c r="K1076">
        <f>IF(B1076="","",B1076-B1075)</f>
        <v/>
      </c>
    </row>
    <row r="1077">
      <c r="G1077">
        <f>IF(C1077="","",C1077*$N$5)</f>
        <v/>
      </c>
      <c r="H1077">
        <f>IF(C1077="","",AVERAGE(C1074:C1077)*$N$5)</f>
        <v/>
      </c>
      <c r="I1077">
        <f>IF(C1077="","",AVERAGE(C1062:C1077)*$N$5)</f>
        <v/>
      </c>
      <c r="J1077">
        <f>IF(C1077="","",J1076+$N$6*(C1077*$N$5-J1076))</f>
        <v/>
      </c>
      <c r="K1077">
        <f>IF(B1077="","",B1077-B1076)</f>
        <v/>
      </c>
    </row>
    <row r="1078">
      <c r="G1078">
        <f>IF(C1078="","",C1078*$N$5)</f>
        <v/>
      </c>
      <c r="H1078">
        <f>IF(C1078="","",AVERAGE(C1075:C1078)*$N$5)</f>
        <v/>
      </c>
      <c r="I1078">
        <f>IF(C1078="","",AVERAGE(C1063:C1078)*$N$5)</f>
        <v/>
      </c>
      <c r="J1078">
        <f>IF(C1078="","",J1077+$N$6*(C1078*$N$5-J1077))</f>
        <v/>
      </c>
      <c r="K1078">
        <f>IF(B1078="","",B1078-B1077)</f>
        <v/>
      </c>
    </row>
    <row r="1079">
      <c r="G1079">
        <f>IF(C1079="","",C1079*$N$5)</f>
        <v/>
      </c>
      <c r="H1079">
        <f>IF(C1079="","",AVERAGE(C1076:C1079)*$N$5)</f>
        <v/>
      </c>
      <c r="I1079">
        <f>IF(C1079="","",AVERAGE(C1064:C1079)*$N$5)</f>
        <v/>
      </c>
      <c r="J1079">
        <f>IF(C1079="","",J1078+$N$6*(C1079*$N$5-J1078))</f>
        <v/>
      </c>
      <c r="K1079">
        <f>IF(B1079="","",B1079-B1078)</f>
        <v/>
      </c>
    </row>
    <row r="1080">
      <c r="G1080">
        <f>IF(C1080="","",C1080*$N$5)</f>
        <v/>
      </c>
      <c r="H1080">
        <f>IF(C1080="","",AVERAGE(C1077:C1080)*$N$5)</f>
        <v/>
      </c>
      <c r="I1080">
        <f>IF(C1080="","",AVERAGE(C1065:C1080)*$N$5)</f>
        <v/>
      </c>
      <c r="J1080">
        <f>IF(C1080="","",J1079+$N$6*(C1080*$N$5-J1079))</f>
        <v/>
      </c>
      <c r="K1080">
        <f>IF(B1080="","",B1080-B1079)</f>
        <v/>
      </c>
    </row>
    <row r="1081">
      <c r="G1081">
        <f>IF(C1081="","",C1081*$N$5)</f>
        <v/>
      </c>
      <c r="H1081">
        <f>IF(C1081="","",AVERAGE(C1078:C1081)*$N$5)</f>
        <v/>
      </c>
      <c r="I1081">
        <f>IF(C1081="","",AVERAGE(C1066:C1081)*$N$5)</f>
        <v/>
      </c>
      <c r="J1081">
        <f>IF(C1081="","",J1080+$N$6*(C1081*$N$5-J1080))</f>
        <v/>
      </c>
      <c r="K1081">
        <f>IF(B1081="","",B1081-B1080)</f>
        <v/>
      </c>
    </row>
    <row r="1082">
      <c r="G1082">
        <f>IF(C1082="","",C1082*$N$5)</f>
        <v/>
      </c>
      <c r="H1082">
        <f>IF(C1082="","",AVERAGE(C1079:C1082)*$N$5)</f>
        <v/>
      </c>
      <c r="I1082">
        <f>IF(C1082="","",AVERAGE(C1067:C1082)*$N$5)</f>
        <v/>
      </c>
      <c r="J1082">
        <f>IF(C1082="","",J1081+$N$6*(C1082*$N$5-J1081))</f>
        <v/>
      </c>
      <c r="K1082">
        <f>IF(B1082="","",B1082-B1081)</f>
        <v/>
      </c>
    </row>
    <row r="1083">
      <c r="G1083">
        <f>IF(C1083="","",C1083*$N$5)</f>
        <v/>
      </c>
      <c r="H1083">
        <f>IF(C1083="","",AVERAGE(C1080:C1083)*$N$5)</f>
        <v/>
      </c>
      <c r="I1083">
        <f>IF(C1083="","",AVERAGE(C1068:C1083)*$N$5)</f>
        <v/>
      </c>
      <c r="J1083">
        <f>IF(C1083="","",J1082+$N$6*(C1083*$N$5-J1082))</f>
        <v/>
      </c>
      <c r="K1083">
        <f>IF(B1083="","",B1083-B1082)</f>
        <v/>
      </c>
    </row>
    <row r="1084">
      <c r="G1084">
        <f>IF(C1084="","",C1084*$N$5)</f>
        <v/>
      </c>
      <c r="H1084">
        <f>IF(C1084="","",AVERAGE(C1081:C1084)*$N$5)</f>
        <v/>
      </c>
      <c r="I1084">
        <f>IF(C1084="","",AVERAGE(C1069:C1084)*$N$5)</f>
        <v/>
      </c>
      <c r="J1084">
        <f>IF(C1084="","",J1083+$N$6*(C1084*$N$5-J1083))</f>
        <v/>
      </c>
      <c r="K1084">
        <f>IF(B1084="","",B1084-B1083)</f>
        <v/>
      </c>
    </row>
    <row r="1085">
      <c r="G1085">
        <f>IF(C1085="","",C1085*$N$5)</f>
        <v/>
      </c>
      <c r="H1085">
        <f>IF(C1085="","",AVERAGE(C1082:C1085)*$N$5)</f>
        <v/>
      </c>
      <c r="I1085">
        <f>IF(C1085="","",AVERAGE(C1070:C1085)*$N$5)</f>
        <v/>
      </c>
      <c r="J1085">
        <f>IF(C1085="","",J1084+$N$6*(C1085*$N$5-J1084))</f>
        <v/>
      </c>
      <c r="K1085">
        <f>IF(B1085="","",B1085-B1084)</f>
        <v/>
      </c>
    </row>
    <row r="1086">
      <c r="G1086">
        <f>IF(C1086="","",C1086*$N$5)</f>
        <v/>
      </c>
      <c r="H1086">
        <f>IF(C1086="","",AVERAGE(C1083:C1086)*$N$5)</f>
        <v/>
      </c>
      <c r="I1086">
        <f>IF(C1086="","",AVERAGE(C1071:C1086)*$N$5)</f>
        <v/>
      </c>
      <c r="J1086">
        <f>IF(C1086="","",J1085+$N$6*(C1086*$N$5-J1085))</f>
        <v/>
      </c>
      <c r="K1086">
        <f>IF(B1086="","",B1086-B1085)</f>
        <v/>
      </c>
    </row>
    <row r="1087">
      <c r="G1087">
        <f>IF(C1087="","",C1087*$N$5)</f>
        <v/>
      </c>
      <c r="H1087">
        <f>IF(C1087="","",AVERAGE(C1084:C1087)*$N$5)</f>
        <v/>
      </c>
      <c r="I1087">
        <f>IF(C1087="","",AVERAGE(C1072:C1087)*$N$5)</f>
        <v/>
      </c>
      <c r="J1087">
        <f>IF(C1087="","",J1086+$N$6*(C1087*$N$5-J1086))</f>
        <v/>
      </c>
      <c r="K1087">
        <f>IF(B1087="","",B1087-B1086)</f>
        <v/>
      </c>
    </row>
    <row r="1088">
      <c r="G1088">
        <f>IF(C1088="","",C1088*$N$5)</f>
        <v/>
      </c>
      <c r="H1088">
        <f>IF(C1088="","",AVERAGE(C1085:C1088)*$N$5)</f>
        <v/>
      </c>
      <c r="I1088">
        <f>IF(C1088="","",AVERAGE(C1073:C1088)*$N$5)</f>
        <v/>
      </c>
      <c r="J1088">
        <f>IF(C1088="","",J1087+$N$6*(C1088*$N$5-J1087))</f>
        <v/>
      </c>
      <c r="K1088">
        <f>IF(B1088="","",B1088-B1087)</f>
        <v/>
      </c>
    </row>
    <row r="1089">
      <c r="G1089">
        <f>IF(C1089="","",C1089*$N$5)</f>
        <v/>
      </c>
      <c r="H1089">
        <f>IF(C1089="","",AVERAGE(C1086:C1089)*$N$5)</f>
        <v/>
      </c>
      <c r="I1089">
        <f>IF(C1089="","",AVERAGE(C1074:C1089)*$N$5)</f>
        <v/>
      </c>
      <c r="J1089">
        <f>IF(C1089="","",J1088+$N$6*(C1089*$N$5-J1088))</f>
        <v/>
      </c>
      <c r="K1089">
        <f>IF(B1089="","",B1089-B1088)</f>
        <v/>
      </c>
    </row>
    <row r="1090">
      <c r="G1090">
        <f>IF(C1090="","",C1090*$N$5)</f>
        <v/>
      </c>
      <c r="H1090">
        <f>IF(C1090="","",AVERAGE(C1087:C1090)*$N$5)</f>
        <v/>
      </c>
      <c r="I1090">
        <f>IF(C1090="","",AVERAGE(C1075:C1090)*$N$5)</f>
        <v/>
      </c>
      <c r="J1090">
        <f>IF(C1090="","",J1089+$N$6*(C1090*$N$5-J1089))</f>
        <v/>
      </c>
      <c r="K1090">
        <f>IF(B1090="","",B1090-B1089)</f>
        <v/>
      </c>
    </row>
    <row r="1091">
      <c r="G1091">
        <f>IF(C1091="","",C1091*$N$5)</f>
        <v/>
      </c>
      <c r="H1091">
        <f>IF(C1091="","",AVERAGE(C1088:C1091)*$N$5)</f>
        <v/>
      </c>
      <c r="I1091">
        <f>IF(C1091="","",AVERAGE(C1076:C1091)*$N$5)</f>
        <v/>
      </c>
      <c r="J1091">
        <f>IF(C1091="","",J1090+$N$6*(C1091*$N$5-J1090))</f>
        <v/>
      </c>
      <c r="K1091">
        <f>IF(B1091="","",B1091-B1090)</f>
        <v/>
      </c>
    </row>
    <row r="1092">
      <c r="G1092">
        <f>IF(C1092="","",C1092*$N$5)</f>
        <v/>
      </c>
      <c r="H1092">
        <f>IF(C1092="","",AVERAGE(C1089:C1092)*$N$5)</f>
        <v/>
      </c>
      <c r="I1092">
        <f>IF(C1092="","",AVERAGE(C1077:C1092)*$N$5)</f>
        <v/>
      </c>
      <c r="J1092">
        <f>IF(C1092="","",J1091+$N$6*(C1092*$N$5-J1091))</f>
        <v/>
      </c>
      <c r="K1092">
        <f>IF(B1092="","",B1092-B1091)</f>
        <v/>
      </c>
    </row>
    <row r="1093">
      <c r="G1093">
        <f>IF(C1093="","",C1093*$N$5)</f>
        <v/>
      </c>
      <c r="H1093">
        <f>IF(C1093="","",AVERAGE(C1090:C1093)*$N$5)</f>
        <v/>
      </c>
      <c r="I1093">
        <f>IF(C1093="","",AVERAGE(C1078:C1093)*$N$5)</f>
        <v/>
      </c>
      <c r="J1093">
        <f>IF(C1093="","",J1092+$N$6*(C1093*$N$5-J1092))</f>
        <v/>
      </c>
      <c r="K1093">
        <f>IF(B1093="","",B1093-B1092)</f>
        <v/>
      </c>
    </row>
    <row r="1094">
      <c r="G1094">
        <f>IF(C1094="","",C1094*$N$5)</f>
        <v/>
      </c>
      <c r="H1094">
        <f>IF(C1094="","",AVERAGE(C1091:C1094)*$N$5)</f>
        <v/>
      </c>
      <c r="I1094">
        <f>IF(C1094="","",AVERAGE(C1079:C1094)*$N$5)</f>
        <v/>
      </c>
      <c r="J1094">
        <f>IF(C1094="","",J1093+$N$6*(C1094*$N$5-J1093))</f>
        <v/>
      </c>
      <c r="K1094">
        <f>IF(B1094="","",B1094-B1093)</f>
        <v/>
      </c>
    </row>
    <row r="1095">
      <c r="G1095">
        <f>IF(C1095="","",C1095*$N$5)</f>
        <v/>
      </c>
      <c r="H1095">
        <f>IF(C1095="","",AVERAGE(C1092:C1095)*$N$5)</f>
        <v/>
      </c>
      <c r="I1095">
        <f>IF(C1095="","",AVERAGE(C1080:C1095)*$N$5)</f>
        <v/>
      </c>
      <c r="J1095">
        <f>IF(C1095="","",J1094+$N$6*(C1095*$N$5-J1094))</f>
        <v/>
      </c>
      <c r="K1095">
        <f>IF(B1095="","",B1095-B1094)</f>
        <v/>
      </c>
    </row>
    <row r="1096">
      <c r="G1096">
        <f>IF(C1096="","",C1096*$N$5)</f>
        <v/>
      </c>
      <c r="H1096">
        <f>IF(C1096="","",AVERAGE(C1093:C1096)*$N$5)</f>
        <v/>
      </c>
      <c r="I1096">
        <f>IF(C1096="","",AVERAGE(C1081:C1096)*$N$5)</f>
        <v/>
      </c>
      <c r="J1096">
        <f>IF(C1096="","",J1095+$N$6*(C1096*$N$5-J1095))</f>
        <v/>
      </c>
      <c r="K1096">
        <f>IF(B1096="","",B1096-B1095)</f>
        <v/>
      </c>
    </row>
    <row r="1097">
      <c r="G1097">
        <f>IF(C1097="","",C1097*$N$5)</f>
        <v/>
      </c>
      <c r="H1097">
        <f>IF(C1097="","",AVERAGE(C1094:C1097)*$N$5)</f>
        <v/>
      </c>
      <c r="I1097">
        <f>IF(C1097="","",AVERAGE(C1082:C1097)*$N$5)</f>
        <v/>
      </c>
      <c r="J1097">
        <f>IF(C1097="","",J1096+$N$6*(C1097*$N$5-J1096))</f>
        <v/>
      </c>
      <c r="K1097">
        <f>IF(B1097="","",B1097-B1096)</f>
        <v/>
      </c>
    </row>
    <row r="1098">
      <c r="G1098">
        <f>IF(C1098="","",C1098*$N$5)</f>
        <v/>
      </c>
      <c r="H1098">
        <f>IF(C1098="","",AVERAGE(C1095:C1098)*$N$5)</f>
        <v/>
      </c>
      <c r="I1098">
        <f>IF(C1098="","",AVERAGE(C1083:C1098)*$N$5)</f>
        <v/>
      </c>
      <c r="J1098">
        <f>IF(C1098="","",J1097+$N$6*(C1098*$N$5-J1097))</f>
        <v/>
      </c>
      <c r="K1098">
        <f>IF(B1098="","",B1098-B1097)</f>
        <v/>
      </c>
    </row>
    <row r="1099">
      <c r="G1099">
        <f>IF(C1099="","",C1099*$N$5)</f>
        <v/>
      </c>
      <c r="H1099">
        <f>IF(C1099="","",AVERAGE(C1096:C1099)*$N$5)</f>
        <v/>
      </c>
      <c r="I1099">
        <f>IF(C1099="","",AVERAGE(C1084:C1099)*$N$5)</f>
        <v/>
      </c>
      <c r="J1099">
        <f>IF(C1099="","",J1098+$N$6*(C1099*$N$5-J1098))</f>
        <v/>
      </c>
      <c r="K1099">
        <f>IF(B1099="","",B1099-B1098)</f>
        <v/>
      </c>
    </row>
    <row r="1100">
      <c r="G1100">
        <f>IF(C1100="","",C1100*$N$5)</f>
        <v/>
      </c>
      <c r="H1100">
        <f>IF(C1100="","",AVERAGE(C1097:C1100)*$N$5)</f>
        <v/>
      </c>
      <c r="I1100">
        <f>IF(C1100="","",AVERAGE(C1085:C1100)*$N$5)</f>
        <v/>
      </c>
      <c r="J1100">
        <f>IF(C1100="","",J1099+$N$6*(C1100*$N$5-J1099))</f>
        <v/>
      </c>
      <c r="K1100">
        <f>IF(B1100="","",B1100-B1099)</f>
        <v/>
      </c>
    </row>
    <row r="1101">
      <c r="G1101">
        <f>IF(C1101="","",C1101*$N$5)</f>
        <v/>
      </c>
      <c r="H1101">
        <f>IF(C1101="","",AVERAGE(C1098:C1101)*$N$5)</f>
        <v/>
      </c>
      <c r="I1101">
        <f>IF(C1101="","",AVERAGE(C1086:C1101)*$N$5)</f>
        <v/>
      </c>
      <c r="J1101">
        <f>IF(C1101="","",J1100+$N$6*(C1101*$N$5-J1100))</f>
        <v/>
      </c>
      <c r="K1101">
        <f>IF(B1101="","",B1101-B1100)</f>
        <v/>
      </c>
    </row>
    <row r="1102">
      <c r="G1102">
        <f>IF(C1102="","",C1102*$N$5)</f>
        <v/>
      </c>
      <c r="H1102">
        <f>IF(C1102="","",AVERAGE(C1099:C1102)*$N$5)</f>
        <v/>
      </c>
      <c r="I1102">
        <f>IF(C1102="","",AVERAGE(C1087:C1102)*$N$5)</f>
        <v/>
      </c>
      <c r="J1102">
        <f>IF(C1102="","",J1101+$N$6*(C1102*$N$5-J1101))</f>
        <v/>
      </c>
      <c r="K1102">
        <f>IF(B1102="","",B1102-B1101)</f>
        <v/>
      </c>
    </row>
    <row r="1103">
      <c r="G1103">
        <f>IF(C1103="","",C1103*$N$5)</f>
        <v/>
      </c>
      <c r="H1103">
        <f>IF(C1103="","",AVERAGE(C1100:C1103)*$N$5)</f>
        <v/>
      </c>
      <c r="I1103">
        <f>IF(C1103="","",AVERAGE(C1088:C1103)*$N$5)</f>
        <v/>
      </c>
      <c r="J1103">
        <f>IF(C1103="","",J1102+$N$6*(C1103*$N$5-J1102))</f>
        <v/>
      </c>
      <c r="K1103">
        <f>IF(B1103="","",B1103-B1102)</f>
        <v/>
      </c>
    </row>
    <row r="1104">
      <c r="G1104">
        <f>IF(C1104="","",C1104*$N$5)</f>
        <v/>
      </c>
      <c r="H1104">
        <f>IF(C1104="","",AVERAGE(C1101:C1104)*$N$5)</f>
        <v/>
      </c>
      <c r="I1104">
        <f>IF(C1104="","",AVERAGE(C1089:C1104)*$N$5)</f>
        <v/>
      </c>
      <c r="J1104">
        <f>IF(C1104="","",J1103+$N$6*(C1104*$N$5-J1103))</f>
        <v/>
      </c>
      <c r="K1104">
        <f>IF(B1104="","",B1104-B1103)</f>
        <v/>
      </c>
    </row>
    <row r="1105">
      <c r="G1105">
        <f>IF(C1105="","",C1105*$N$5)</f>
        <v/>
      </c>
      <c r="H1105">
        <f>IF(C1105="","",AVERAGE(C1102:C1105)*$N$5)</f>
        <v/>
      </c>
      <c r="I1105">
        <f>IF(C1105="","",AVERAGE(C1090:C1105)*$N$5)</f>
        <v/>
      </c>
      <c r="J1105">
        <f>IF(C1105="","",J1104+$N$6*(C1105*$N$5-J1104))</f>
        <v/>
      </c>
      <c r="K1105">
        <f>IF(B1105="","",B1105-B1104)</f>
        <v/>
      </c>
    </row>
    <row r="1106">
      <c r="G1106">
        <f>IF(C1106="","",C1106*$N$5)</f>
        <v/>
      </c>
      <c r="H1106">
        <f>IF(C1106="","",AVERAGE(C1103:C1106)*$N$5)</f>
        <v/>
      </c>
      <c r="I1106">
        <f>IF(C1106="","",AVERAGE(C1091:C1106)*$N$5)</f>
        <v/>
      </c>
      <c r="J1106">
        <f>IF(C1106="","",J1105+$N$6*(C1106*$N$5-J1105))</f>
        <v/>
      </c>
      <c r="K1106">
        <f>IF(B1106="","",B1106-B1105)</f>
        <v/>
      </c>
    </row>
    <row r="1107">
      <c r="G1107">
        <f>IF(C1107="","",C1107*$N$5)</f>
        <v/>
      </c>
      <c r="H1107">
        <f>IF(C1107="","",AVERAGE(C1104:C1107)*$N$5)</f>
        <v/>
      </c>
      <c r="I1107">
        <f>IF(C1107="","",AVERAGE(C1092:C1107)*$N$5)</f>
        <v/>
      </c>
      <c r="J1107">
        <f>IF(C1107="","",J1106+$N$6*(C1107*$N$5-J1106))</f>
        <v/>
      </c>
      <c r="K1107">
        <f>IF(B1107="","",B1107-B1106)</f>
        <v/>
      </c>
    </row>
    <row r="1108">
      <c r="G1108">
        <f>IF(C1108="","",C1108*$N$5)</f>
        <v/>
      </c>
      <c r="H1108">
        <f>IF(C1108="","",AVERAGE(C1105:C1108)*$N$5)</f>
        <v/>
      </c>
      <c r="I1108">
        <f>IF(C1108="","",AVERAGE(C1093:C1108)*$N$5)</f>
        <v/>
      </c>
      <c r="J1108">
        <f>IF(C1108="","",J1107+$N$6*(C1108*$N$5-J1107))</f>
        <v/>
      </c>
      <c r="K1108">
        <f>IF(B1108="","",B1108-B1107)</f>
        <v/>
      </c>
    </row>
    <row r="1109">
      <c r="G1109">
        <f>IF(C1109="","",C1109*$N$5)</f>
        <v/>
      </c>
      <c r="H1109">
        <f>IF(C1109="","",AVERAGE(C1106:C1109)*$N$5)</f>
        <v/>
      </c>
      <c r="I1109">
        <f>IF(C1109="","",AVERAGE(C1094:C1109)*$N$5)</f>
        <v/>
      </c>
      <c r="J1109">
        <f>IF(C1109="","",J1108+$N$6*(C1109*$N$5-J1108))</f>
        <v/>
      </c>
      <c r="K1109">
        <f>IF(B1109="","",B1109-B1108)</f>
        <v/>
      </c>
    </row>
    <row r="1110">
      <c r="G1110">
        <f>IF(C1110="","",C1110*$N$5)</f>
        <v/>
      </c>
      <c r="H1110">
        <f>IF(C1110="","",AVERAGE(C1107:C1110)*$N$5)</f>
        <v/>
      </c>
      <c r="I1110">
        <f>IF(C1110="","",AVERAGE(C1095:C1110)*$N$5)</f>
        <v/>
      </c>
      <c r="J1110">
        <f>IF(C1110="","",J1109+$N$6*(C1110*$N$5-J1109))</f>
        <v/>
      </c>
      <c r="K1110">
        <f>IF(B1110="","",B1110-B1109)</f>
        <v/>
      </c>
    </row>
    <row r="1111">
      <c r="G1111">
        <f>IF(C1111="","",C1111*$N$5)</f>
        <v/>
      </c>
      <c r="H1111">
        <f>IF(C1111="","",AVERAGE(C1108:C1111)*$N$5)</f>
        <v/>
      </c>
      <c r="I1111">
        <f>IF(C1111="","",AVERAGE(C1096:C1111)*$N$5)</f>
        <v/>
      </c>
      <c r="J1111">
        <f>IF(C1111="","",J1110+$N$6*(C1111*$N$5-J1110))</f>
        <v/>
      </c>
      <c r="K1111">
        <f>IF(B1111="","",B1111-B1110)</f>
        <v/>
      </c>
    </row>
    <row r="1112">
      <c r="G1112">
        <f>IF(C1112="","",C1112*$N$5)</f>
        <v/>
      </c>
      <c r="H1112">
        <f>IF(C1112="","",AVERAGE(C1109:C1112)*$N$5)</f>
        <v/>
      </c>
      <c r="I1112">
        <f>IF(C1112="","",AVERAGE(C1097:C1112)*$N$5)</f>
        <v/>
      </c>
      <c r="J1112">
        <f>IF(C1112="","",J1111+$N$6*(C1112*$N$5-J1111))</f>
        <v/>
      </c>
      <c r="K1112">
        <f>IF(B1112="","",B1112-B1111)</f>
        <v/>
      </c>
    </row>
    <row r="1113">
      <c r="G1113">
        <f>IF(C1113="","",C1113*$N$5)</f>
        <v/>
      </c>
      <c r="H1113">
        <f>IF(C1113="","",AVERAGE(C1110:C1113)*$N$5)</f>
        <v/>
      </c>
      <c r="I1113">
        <f>IF(C1113="","",AVERAGE(C1098:C1113)*$N$5)</f>
        <v/>
      </c>
      <c r="J1113">
        <f>IF(C1113="","",J1112+$N$6*(C1113*$N$5-J1112))</f>
        <v/>
      </c>
      <c r="K1113">
        <f>IF(B1113="","",B1113-B1112)</f>
        <v/>
      </c>
    </row>
    <row r="1114">
      <c r="G1114">
        <f>IF(C1114="","",C1114*$N$5)</f>
        <v/>
      </c>
      <c r="H1114">
        <f>IF(C1114="","",AVERAGE(C1111:C1114)*$N$5)</f>
        <v/>
      </c>
      <c r="I1114">
        <f>IF(C1114="","",AVERAGE(C1099:C1114)*$N$5)</f>
        <v/>
      </c>
      <c r="J1114">
        <f>IF(C1114="","",J1113+$N$6*(C1114*$N$5-J1113))</f>
        <v/>
      </c>
      <c r="K1114">
        <f>IF(B1114="","",B1114-B1113)</f>
        <v/>
      </c>
    </row>
    <row r="1115">
      <c r="G1115">
        <f>IF(C1115="","",C1115*$N$5)</f>
        <v/>
      </c>
      <c r="H1115">
        <f>IF(C1115="","",AVERAGE(C1112:C1115)*$N$5)</f>
        <v/>
      </c>
      <c r="I1115">
        <f>IF(C1115="","",AVERAGE(C1100:C1115)*$N$5)</f>
        <v/>
      </c>
      <c r="J1115">
        <f>IF(C1115="","",J1114+$N$6*(C1115*$N$5-J1114))</f>
        <v/>
      </c>
      <c r="K1115">
        <f>IF(B1115="","",B1115-B1114)</f>
        <v/>
      </c>
    </row>
    <row r="1116">
      <c r="G1116">
        <f>IF(C1116="","",C1116*$N$5)</f>
        <v/>
      </c>
      <c r="H1116">
        <f>IF(C1116="","",AVERAGE(C1113:C1116)*$N$5)</f>
        <v/>
      </c>
      <c r="I1116">
        <f>IF(C1116="","",AVERAGE(C1101:C1116)*$N$5)</f>
        <v/>
      </c>
      <c r="J1116">
        <f>IF(C1116="","",J1115+$N$6*(C1116*$N$5-J1115))</f>
        <v/>
      </c>
      <c r="K1116">
        <f>IF(B1116="","",B1116-B1115)</f>
        <v/>
      </c>
    </row>
    <row r="1117">
      <c r="G1117">
        <f>IF(C1117="","",C1117*$N$5)</f>
        <v/>
      </c>
      <c r="H1117">
        <f>IF(C1117="","",AVERAGE(C1114:C1117)*$N$5)</f>
        <v/>
      </c>
      <c r="I1117">
        <f>IF(C1117="","",AVERAGE(C1102:C1117)*$N$5)</f>
        <v/>
      </c>
      <c r="J1117">
        <f>IF(C1117="","",J1116+$N$6*(C1117*$N$5-J1116))</f>
        <v/>
      </c>
      <c r="K1117">
        <f>IF(B1117="","",B1117-B1116)</f>
        <v/>
      </c>
    </row>
    <row r="1118">
      <c r="G1118">
        <f>IF(C1118="","",C1118*$N$5)</f>
        <v/>
      </c>
      <c r="H1118">
        <f>IF(C1118="","",AVERAGE(C1115:C1118)*$N$5)</f>
        <v/>
      </c>
      <c r="I1118">
        <f>IF(C1118="","",AVERAGE(C1103:C1118)*$N$5)</f>
        <v/>
      </c>
      <c r="J1118">
        <f>IF(C1118="","",J1117+$N$6*(C1118*$N$5-J1117))</f>
        <v/>
      </c>
      <c r="K1118">
        <f>IF(B1118="","",B1118-B1117)</f>
        <v/>
      </c>
    </row>
    <row r="1119">
      <c r="G1119">
        <f>IF(C1119="","",C1119*$N$5)</f>
        <v/>
      </c>
      <c r="H1119">
        <f>IF(C1119="","",AVERAGE(C1116:C1119)*$N$5)</f>
        <v/>
      </c>
      <c r="I1119">
        <f>IF(C1119="","",AVERAGE(C1104:C1119)*$N$5)</f>
        <v/>
      </c>
      <c r="J1119">
        <f>IF(C1119="","",J1118+$N$6*(C1119*$N$5-J1118))</f>
        <v/>
      </c>
      <c r="K1119">
        <f>IF(B1119="","",B1119-B1118)</f>
        <v/>
      </c>
    </row>
    <row r="1120">
      <c r="G1120">
        <f>IF(C1120="","",C1120*$N$5)</f>
        <v/>
      </c>
      <c r="H1120">
        <f>IF(C1120="","",AVERAGE(C1117:C1120)*$N$5)</f>
        <v/>
      </c>
      <c r="I1120">
        <f>IF(C1120="","",AVERAGE(C1105:C1120)*$N$5)</f>
        <v/>
      </c>
      <c r="J1120">
        <f>IF(C1120="","",J1119+$N$6*(C1120*$N$5-J1119))</f>
        <v/>
      </c>
      <c r="K1120">
        <f>IF(B1120="","",B1120-B1119)</f>
        <v/>
      </c>
    </row>
    <row r="1121">
      <c r="G1121">
        <f>IF(C1121="","",C1121*$N$5)</f>
        <v/>
      </c>
      <c r="H1121">
        <f>IF(C1121="","",AVERAGE(C1118:C1121)*$N$5)</f>
        <v/>
      </c>
      <c r="I1121">
        <f>IF(C1121="","",AVERAGE(C1106:C1121)*$N$5)</f>
        <v/>
      </c>
      <c r="J1121">
        <f>IF(C1121="","",J1120+$N$6*(C1121*$N$5-J1120))</f>
        <v/>
      </c>
      <c r="K1121">
        <f>IF(B1121="","",B1121-B1120)</f>
        <v/>
      </c>
    </row>
    <row r="1122">
      <c r="G1122">
        <f>IF(C1122="","",C1122*$N$5)</f>
        <v/>
      </c>
      <c r="H1122">
        <f>IF(C1122="","",AVERAGE(C1119:C1122)*$N$5)</f>
        <v/>
      </c>
      <c r="I1122">
        <f>IF(C1122="","",AVERAGE(C1107:C1122)*$N$5)</f>
        <v/>
      </c>
      <c r="J1122">
        <f>IF(C1122="","",J1121+$N$6*(C1122*$N$5-J1121))</f>
        <v/>
      </c>
      <c r="K1122">
        <f>IF(B1122="","",B1122-B1121)</f>
        <v/>
      </c>
    </row>
    <row r="1123">
      <c r="G1123">
        <f>IF(C1123="","",C1123*$N$5)</f>
        <v/>
      </c>
      <c r="H1123">
        <f>IF(C1123="","",AVERAGE(C1120:C1123)*$N$5)</f>
        <v/>
      </c>
      <c r="I1123">
        <f>IF(C1123="","",AVERAGE(C1108:C1123)*$N$5)</f>
        <v/>
      </c>
      <c r="J1123">
        <f>IF(C1123="","",J1122+$N$6*(C1123*$N$5-J1122))</f>
        <v/>
      </c>
      <c r="K1123">
        <f>IF(B1123="","",B1123-B1122)</f>
        <v/>
      </c>
    </row>
    <row r="1124">
      <c r="G1124">
        <f>IF(C1124="","",C1124*$N$5)</f>
        <v/>
      </c>
      <c r="H1124">
        <f>IF(C1124="","",AVERAGE(C1121:C1124)*$N$5)</f>
        <v/>
      </c>
      <c r="I1124">
        <f>IF(C1124="","",AVERAGE(C1109:C1124)*$N$5)</f>
        <v/>
      </c>
      <c r="J1124">
        <f>IF(C1124="","",J1123+$N$6*(C1124*$N$5-J1123))</f>
        <v/>
      </c>
      <c r="K1124">
        <f>IF(B1124="","",B1124-B1123)</f>
        <v/>
      </c>
    </row>
    <row r="1125">
      <c r="G1125">
        <f>IF(C1125="","",C1125*$N$5)</f>
        <v/>
      </c>
      <c r="H1125">
        <f>IF(C1125="","",AVERAGE(C1122:C1125)*$N$5)</f>
        <v/>
      </c>
      <c r="I1125">
        <f>IF(C1125="","",AVERAGE(C1110:C1125)*$N$5)</f>
        <v/>
      </c>
      <c r="J1125">
        <f>IF(C1125="","",J1124+$N$6*(C1125*$N$5-J1124))</f>
        <v/>
      </c>
      <c r="K1125">
        <f>IF(B1125="","",B1125-B1124)</f>
        <v/>
      </c>
    </row>
    <row r="1126">
      <c r="G1126">
        <f>IF(C1126="","",C1126*$N$5)</f>
        <v/>
      </c>
      <c r="H1126">
        <f>IF(C1126="","",AVERAGE(C1123:C1126)*$N$5)</f>
        <v/>
      </c>
      <c r="I1126">
        <f>IF(C1126="","",AVERAGE(C1111:C1126)*$N$5)</f>
        <v/>
      </c>
      <c r="J1126">
        <f>IF(C1126="","",J1125+$N$6*(C1126*$N$5-J1125))</f>
        <v/>
      </c>
      <c r="K1126">
        <f>IF(B1126="","",B1126-B1125)</f>
        <v/>
      </c>
    </row>
    <row r="1127">
      <c r="G1127">
        <f>IF(C1127="","",C1127*$N$5)</f>
        <v/>
      </c>
      <c r="H1127">
        <f>IF(C1127="","",AVERAGE(C1124:C1127)*$N$5)</f>
        <v/>
      </c>
      <c r="I1127">
        <f>IF(C1127="","",AVERAGE(C1112:C1127)*$N$5)</f>
        <v/>
      </c>
      <c r="J1127">
        <f>IF(C1127="","",J1126+$N$6*(C1127*$N$5-J1126))</f>
        <v/>
      </c>
      <c r="K1127">
        <f>IF(B1127="","",B1127-B1126)</f>
        <v/>
      </c>
    </row>
    <row r="1128">
      <c r="G1128">
        <f>IF(C1128="","",C1128*$N$5)</f>
        <v/>
      </c>
      <c r="H1128">
        <f>IF(C1128="","",AVERAGE(C1125:C1128)*$N$5)</f>
        <v/>
      </c>
      <c r="I1128">
        <f>IF(C1128="","",AVERAGE(C1113:C1128)*$N$5)</f>
        <v/>
      </c>
      <c r="J1128">
        <f>IF(C1128="","",J1127+$N$6*(C1128*$N$5-J1127))</f>
        <v/>
      </c>
      <c r="K1128">
        <f>IF(B1128="","",B1128-B1127)</f>
        <v/>
      </c>
    </row>
    <row r="1129">
      <c r="G1129">
        <f>IF(C1129="","",C1129*$N$5)</f>
        <v/>
      </c>
      <c r="H1129">
        <f>IF(C1129="","",AVERAGE(C1126:C1129)*$N$5)</f>
        <v/>
      </c>
      <c r="I1129">
        <f>IF(C1129="","",AVERAGE(C1114:C1129)*$N$5)</f>
        <v/>
      </c>
      <c r="J1129">
        <f>IF(C1129="","",J1128+$N$6*(C1129*$N$5-J1128))</f>
        <v/>
      </c>
      <c r="K1129">
        <f>IF(B1129="","",B1129-B1128)</f>
        <v/>
      </c>
    </row>
    <row r="1130">
      <c r="G1130">
        <f>IF(C1130="","",C1130*$N$5)</f>
        <v/>
      </c>
      <c r="H1130">
        <f>IF(C1130="","",AVERAGE(C1127:C1130)*$N$5)</f>
        <v/>
      </c>
      <c r="I1130">
        <f>IF(C1130="","",AVERAGE(C1115:C1130)*$N$5)</f>
        <v/>
      </c>
      <c r="J1130">
        <f>IF(C1130="","",J1129+$N$6*(C1130*$N$5-J1129))</f>
        <v/>
      </c>
      <c r="K1130">
        <f>IF(B1130="","",B1130-B1129)</f>
        <v/>
      </c>
    </row>
    <row r="1131">
      <c r="G1131">
        <f>IF(C1131="","",C1131*$N$5)</f>
        <v/>
      </c>
      <c r="H1131">
        <f>IF(C1131="","",AVERAGE(C1128:C1131)*$N$5)</f>
        <v/>
      </c>
      <c r="I1131">
        <f>IF(C1131="","",AVERAGE(C1116:C1131)*$N$5)</f>
        <v/>
      </c>
      <c r="J1131">
        <f>IF(C1131="","",J1130+$N$6*(C1131*$N$5-J1130))</f>
        <v/>
      </c>
      <c r="K1131">
        <f>IF(B1131="","",B1131-B1130)</f>
        <v/>
      </c>
    </row>
    <row r="1132">
      <c r="G1132">
        <f>IF(C1132="","",C1132*$N$5)</f>
        <v/>
      </c>
      <c r="H1132">
        <f>IF(C1132="","",AVERAGE(C1129:C1132)*$N$5)</f>
        <v/>
      </c>
      <c r="I1132">
        <f>IF(C1132="","",AVERAGE(C1117:C1132)*$N$5)</f>
        <v/>
      </c>
      <c r="J1132">
        <f>IF(C1132="","",J1131+$N$6*(C1132*$N$5-J1131))</f>
        <v/>
      </c>
      <c r="K1132">
        <f>IF(B1132="","",B1132-B1131)</f>
        <v/>
      </c>
    </row>
    <row r="1133">
      <c r="G1133">
        <f>IF(C1133="","",C1133*$N$5)</f>
        <v/>
      </c>
      <c r="H1133">
        <f>IF(C1133="","",AVERAGE(C1130:C1133)*$N$5)</f>
        <v/>
      </c>
      <c r="I1133">
        <f>IF(C1133="","",AVERAGE(C1118:C1133)*$N$5)</f>
        <v/>
      </c>
      <c r="J1133">
        <f>IF(C1133="","",J1132+$N$6*(C1133*$N$5-J1132))</f>
        <v/>
      </c>
      <c r="K1133">
        <f>IF(B1133="","",B1133-B1132)</f>
        <v/>
      </c>
    </row>
    <row r="1134">
      <c r="G1134">
        <f>IF(C1134="","",C1134*$N$5)</f>
        <v/>
      </c>
      <c r="H1134">
        <f>IF(C1134="","",AVERAGE(C1131:C1134)*$N$5)</f>
        <v/>
      </c>
      <c r="I1134">
        <f>IF(C1134="","",AVERAGE(C1119:C1134)*$N$5)</f>
        <v/>
      </c>
      <c r="J1134">
        <f>IF(C1134="","",J1133+$N$6*(C1134*$N$5-J1133))</f>
        <v/>
      </c>
      <c r="K1134">
        <f>IF(B1134="","",B1134-B1133)</f>
        <v/>
      </c>
    </row>
    <row r="1135">
      <c r="G1135">
        <f>IF(C1135="","",C1135*$N$5)</f>
        <v/>
      </c>
      <c r="H1135">
        <f>IF(C1135="","",AVERAGE(C1132:C1135)*$N$5)</f>
        <v/>
      </c>
      <c r="I1135">
        <f>IF(C1135="","",AVERAGE(C1120:C1135)*$N$5)</f>
        <v/>
      </c>
      <c r="J1135">
        <f>IF(C1135="","",J1134+$N$6*(C1135*$N$5-J1134))</f>
        <v/>
      </c>
      <c r="K1135">
        <f>IF(B1135="","",B1135-B1134)</f>
        <v/>
      </c>
    </row>
    <row r="1136">
      <c r="G1136">
        <f>IF(C1136="","",C1136*$N$5)</f>
        <v/>
      </c>
      <c r="H1136">
        <f>IF(C1136="","",AVERAGE(C1133:C1136)*$N$5)</f>
        <v/>
      </c>
      <c r="I1136">
        <f>IF(C1136="","",AVERAGE(C1121:C1136)*$N$5)</f>
        <v/>
      </c>
      <c r="J1136">
        <f>IF(C1136="","",J1135+$N$6*(C1136*$N$5-J1135))</f>
        <v/>
      </c>
      <c r="K1136">
        <f>IF(B1136="","",B1136-B1135)</f>
        <v/>
      </c>
    </row>
    <row r="1137">
      <c r="G1137">
        <f>IF(C1137="","",C1137*$N$5)</f>
        <v/>
      </c>
      <c r="H1137">
        <f>IF(C1137="","",AVERAGE(C1134:C1137)*$N$5)</f>
        <v/>
      </c>
      <c r="I1137">
        <f>IF(C1137="","",AVERAGE(C1122:C1137)*$N$5)</f>
        <v/>
      </c>
      <c r="J1137">
        <f>IF(C1137="","",J1136+$N$6*(C1137*$N$5-J1136))</f>
        <v/>
      </c>
      <c r="K1137">
        <f>IF(B1137="","",B1137-B1136)</f>
        <v/>
      </c>
    </row>
    <row r="1138">
      <c r="G1138">
        <f>IF(C1138="","",C1138*$N$5)</f>
        <v/>
      </c>
      <c r="H1138">
        <f>IF(C1138="","",AVERAGE(C1135:C1138)*$N$5)</f>
        <v/>
      </c>
      <c r="I1138">
        <f>IF(C1138="","",AVERAGE(C1123:C1138)*$N$5)</f>
        <v/>
      </c>
      <c r="J1138">
        <f>IF(C1138="","",J1137+$N$6*(C1138*$N$5-J1137))</f>
        <v/>
      </c>
      <c r="K1138">
        <f>IF(B1138="","",B1138-B1137)</f>
        <v/>
      </c>
    </row>
    <row r="1139">
      <c r="G1139">
        <f>IF(C1139="","",C1139*$N$5)</f>
        <v/>
      </c>
      <c r="H1139">
        <f>IF(C1139="","",AVERAGE(C1136:C1139)*$N$5)</f>
        <v/>
      </c>
      <c r="I1139">
        <f>IF(C1139="","",AVERAGE(C1124:C1139)*$N$5)</f>
        <v/>
      </c>
      <c r="J1139">
        <f>IF(C1139="","",J1138+$N$6*(C1139*$N$5-J1138))</f>
        <v/>
      </c>
      <c r="K1139">
        <f>IF(B1139="","",B1139-B1138)</f>
        <v/>
      </c>
    </row>
    <row r="1140">
      <c r="G1140">
        <f>IF(C1140="","",C1140*$N$5)</f>
        <v/>
      </c>
      <c r="H1140">
        <f>IF(C1140="","",AVERAGE(C1137:C1140)*$N$5)</f>
        <v/>
      </c>
      <c r="I1140">
        <f>IF(C1140="","",AVERAGE(C1125:C1140)*$N$5)</f>
        <v/>
      </c>
      <c r="J1140">
        <f>IF(C1140="","",J1139+$N$6*(C1140*$N$5-J1139))</f>
        <v/>
      </c>
      <c r="K1140">
        <f>IF(B1140="","",B1140-B1139)</f>
        <v/>
      </c>
    </row>
    <row r="1141">
      <c r="G1141">
        <f>IF(C1141="","",C1141*$N$5)</f>
        <v/>
      </c>
      <c r="H1141">
        <f>IF(C1141="","",AVERAGE(C1138:C1141)*$N$5)</f>
        <v/>
      </c>
      <c r="I1141">
        <f>IF(C1141="","",AVERAGE(C1126:C1141)*$N$5)</f>
        <v/>
      </c>
      <c r="J1141">
        <f>IF(C1141="","",J1140+$N$6*(C1141*$N$5-J1140))</f>
        <v/>
      </c>
      <c r="K1141">
        <f>IF(B1141="","",B1141-B1140)</f>
        <v/>
      </c>
    </row>
    <row r="1142">
      <c r="G1142">
        <f>IF(C1142="","",C1142*$N$5)</f>
        <v/>
      </c>
      <c r="H1142">
        <f>IF(C1142="","",AVERAGE(C1139:C1142)*$N$5)</f>
        <v/>
      </c>
      <c r="I1142">
        <f>IF(C1142="","",AVERAGE(C1127:C1142)*$N$5)</f>
        <v/>
      </c>
      <c r="J1142">
        <f>IF(C1142="","",J1141+$N$6*(C1142*$N$5-J1141))</f>
        <v/>
      </c>
      <c r="K1142">
        <f>IF(B1142="","",B1142-B1141)</f>
        <v/>
      </c>
    </row>
    <row r="1143">
      <c r="G1143">
        <f>IF(C1143="","",C1143*$N$5)</f>
        <v/>
      </c>
      <c r="H1143">
        <f>IF(C1143="","",AVERAGE(C1140:C1143)*$N$5)</f>
        <v/>
      </c>
      <c r="I1143">
        <f>IF(C1143="","",AVERAGE(C1128:C1143)*$N$5)</f>
        <v/>
      </c>
      <c r="J1143">
        <f>IF(C1143="","",J1142+$N$6*(C1143*$N$5-J1142))</f>
        <v/>
      </c>
      <c r="K1143">
        <f>IF(B1143="","",B1143-B1142)</f>
        <v/>
      </c>
    </row>
    <row r="1144">
      <c r="G1144">
        <f>IF(C1144="","",C1144*$N$5)</f>
        <v/>
      </c>
      <c r="H1144">
        <f>IF(C1144="","",AVERAGE(C1141:C1144)*$N$5)</f>
        <v/>
      </c>
      <c r="I1144">
        <f>IF(C1144="","",AVERAGE(C1129:C1144)*$N$5)</f>
        <v/>
      </c>
      <c r="J1144">
        <f>IF(C1144="","",J1143+$N$6*(C1144*$N$5-J1143))</f>
        <v/>
      </c>
      <c r="K1144">
        <f>IF(B1144="","",B1144-B1143)</f>
        <v/>
      </c>
    </row>
    <row r="1145">
      <c r="G1145">
        <f>IF(C1145="","",C1145*$N$5)</f>
        <v/>
      </c>
      <c r="H1145">
        <f>IF(C1145="","",AVERAGE(C1142:C1145)*$N$5)</f>
        <v/>
      </c>
      <c r="I1145">
        <f>IF(C1145="","",AVERAGE(C1130:C1145)*$N$5)</f>
        <v/>
      </c>
      <c r="J1145">
        <f>IF(C1145="","",J1144+$N$6*(C1145*$N$5-J1144))</f>
        <v/>
      </c>
      <c r="K1145">
        <f>IF(B1145="","",B1145-B1144)</f>
        <v/>
      </c>
    </row>
    <row r="1146">
      <c r="G1146">
        <f>IF(C1146="","",C1146*$N$5)</f>
        <v/>
      </c>
      <c r="H1146">
        <f>IF(C1146="","",AVERAGE(C1143:C1146)*$N$5)</f>
        <v/>
      </c>
      <c r="I1146">
        <f>IF(C1146="","",AVERAGE(C1131:C1146)*$N$5)</f>
        <v/>
      </c>
      <c r="J1146">
        <f>IF(C1146="","",J1145+$N$6*(C1146*$N$5-J1145))</f>
        <v/>
      </c>
      <c r="K1146">
        <f>IF(B1146="","",B1146-B1145)</f>
        <v/>
      </c>
    </row>
    <row r="1147">
      <c r="G1147">
        <f>IF(C1147="","",C1147*$N$5)</f>
        <v/>
      </c>
      <c r="H1147">
        <f>IF(C1147="","",AVERAGE(C1144:C1147)*$N$5)</f>
        <v/>
      </c>
      <c r="I1147">
        <f>IF(C1147="","",AVERAGE(C1132:C1147)*$N$5)</f>
        <v/>
      </c>
      <c r="J1147">
        <f>IF(C1147="","",J1146+$N$6*(C1147*$N$5-J1146))</f>
        <v/>
      </c>
      <c r="K1147">
        <f>IF(B1147="","",B1147-B1146)</f>
        <v/>
      </c>
    </row>
    <row r="1148">
      <c r="G1148">
        <f>IF(C1148="","",C1148*$N$5)</f>
        <v/>
      </c>
      <c r="H1148">
        <f>IF(C1148="","",AVERAGE(C1145:C1148)*$N$5)</f>
        <v/>
      </c>
      <c r="I1148">
        <f>IF(C1148="","",AVERAGE(C1133:C1148)*$N$5)</f>
        <v/>
      </c>
      <c r="J1148">
        <f>IF(C1148="","",J1147+$N$6*(C1148*$N$5-J1147))</f>
        <v/>
      </c>
      <c r="K1148">
        <f>IF(B1148="","",B1148-B1147)</f>
        <v/>
      </c>
    </row>
    <row r="1149">
      <c r="G1149">
        <f>IF(C1149="","",C1149*$N$5)</f>
        <v/>
      </c>
      <c r="H1149">
        <f>IF(C1149="","",AVERAGE(C1146:C1149)*$N$5)</f>
        <v/>
      </c>
      <c r="I1149">
        <f>IF(C1149="","",AVERAGE(C1134:C1149)*$N$5)</f>
        <v/>
      </c>
      <c r="J1149">
        <f>IF(C1149="","",J1148+$N$6*(C1149*$N$5-J1148))</f>
        <v/>
      </c>
      <c r="K1149">
        <f>IF(B1149="","",B1149-B1148)</f>
        <v/>
      </c>
    </row>
    <row r="1150">
      <c r="G1150">
        <f>IF(C1150="","",C1150*$N$5)</f>
        <v/>
      </c>
      <c r="H1150">
        <f>IF(C1150="","",AVERAGE(C1147:C1150)*$N$5)</f>
        <v/>
      </c>
      <c r="I1150">
        <f>IF(C1150="","",AVERAGE(C1135:C1150)*$N$5)</f>
        <v/>
      </c>
      <c r="J1150">
        <f>IF(C1150="","",J1149+$N$6*(C1150*$N$5-J1149))</f>
        <v/>
      </c>
      <c r="K1150">
        <f>IF(B1150="","",B1150-B1149)</f>
        <v/>
      </c>
    </row>
    <row r="1151">
      <c r="G1151">
        <f>IF(C1151="","",C1151*$N$5)</f>
        <v/>
      </c>
      <c r="H1151">
        <f>IF(C1151="","",AVERAGE(C1148:C1151)*$N$5)</f>
        <v/>
      </c>
      <c r="I1151">
        <f>IF(C1151="","",AVERAGE(C1136:C1151)*$N$5)</f>
        <v/>
      </c>
      <c r="J1151">
        <f>IF(C1151="","",J1150+$N$6*(C1151*$N$5-J1150))</f>
        <v/>
      </c>
      <c r="K1151">
        <f>IF(B1151="","",B1151-B1150)</f>
        <v/>
      </c>
    </row>
    <row r="1152">
      <c r="G1152">
        <f>IF(C1152="","",C1152*$N$5)</f>
        <v/>
      </c>
      <c r="H1152">
        <f>IF(C1152="","",AVERAGE(C1149:C1152)*$N$5)</f>
        <v/>
      </c>
      <c r="I1152">
        <f>IF(C1152="","",AVERAGE(C1137:C1152)*$N$5)</f>
        <v/>
      </c>
      <c r="J1152">
        <f>IF(C1152="","",J1151+$N$6*(C1152*$N$5-J1151))</f>
        <v/>
      </c>
      <c r="K1152">
        <f>IF(B1152="","",B1152-B1151)</f>
        <v/>
      </c>
    </row>
    <row r="1153">
      <c r="G1153">
        <f>IF(C1153="","",C1153*$N$5)</f>
        <v/>
      </c>
      <c r="H1153">
        <f>IF(C1153="","",AVERAGE(C1150:C1153)*$N$5)</f>
        <v/>
      </c>
      <c r="I1153">
        <f>IF(C1153="","",AVERAGE(C1138:C1153)*$N$5)</f>
        <v/>
      </c>
      <c r="J1153">
        <f>IF(C1153="","",J1152+$N$6*(C1153*$N$5-J1152))</f>
        <v/>
      </c>
      <c r="K1153">
        <f>IF(B1153="","",B1153-B1152)</f>
        <v/>
      </c>
    </row>
    <row r="1154">
      <c r="G1154">
        <f>IF(C1154="","",C1154*$N$5)</f>
        <v/>
      </c>
      <c r="H1154">
        <f>IF(C1154="","",AVERAGE(C1151:C1154)*$N$5)</f>
        <v/>
      </c>
      <c r="I1154">
        <f>IF(C1154="","",AVERAGE(C1139:C1154)*$N$5)</f>
        <v/>
      </c>
      <c r="J1154">
        <f>IF(C1154="","",J1153+$N$6*(C1154*$N$5-J1153))</f>
        <v/>
      </c>
      <c r="K1154">
        <f>IF(B1154="","",B1154-B1153)</f>
        <v/>
      </c>
    </row>
    <row r="1155">
      <c r="G1155">
        <f>IF(C1155="","",C1155*$N$5)</f>
        <v/>
      </c>
      <c r="H1155">
        <f>IF(C1155="","",AVERAGE(C1152:C1155)*$N$5)</f>
        <v/>
      </c>
      <c r="I1155">
        <f>IF(C1155="","",AVERAGE(C1140:C1155)*$N$5)</f>
        <v/>
      </c>
      <c r="J1155">
        <f>IF(C1155="","",J1154+$N$6*(C1155*$N$5-J1154))</f>
        <v/>
      </c>
      <c r="K1155">
        <f>IF(B1155="","",B1155-B1154)</f>
        <v/>
      </c>
    </row>
    <row r="1156">
      <c r="G1156">
        <f>IF(C1156="","",C1156*$N$5)</f>
        <v/>
      </c>
      <c r="H1156">
        <f>IF(C1156="","",AVERAGE(C1153:C1156)*$N$5)</f>
        <v/>
      </c>
      <c r="I1156">
        <f>IF(C1156="","",AVERAGE(C1141:C1156)*$N$5)</f>
        <v/>
      </c>
      <c r="J1156">
        <f>IF(C1156="","",J1155+$N$6*(C1156*$N$5-J1155))</f>
        <v/>
      </c>
      <c r="K1156">
        <f>IF(B1156="","",B1156-B1155)</f>
        <v/>
      </c>
    </row>
    <row r="1157">
      <c r="G1157">
        <f>IF(C1157="","",C1157*$N$5)</f>
        <v/>
      </c>
      <c r="H1157">
        <f>IF(C1157="","",AVERAGE(C1154:C1157)*$N$5)</f>
        <v/>
      </c>
      <c r="I1157">
        <f>IF(C1157="","",AVERAGE(C1142:C1157)*$N$5)</f>
        <v/>
      </c>
      <c r="J1157">
        <f>IF(C1157="","",J1156+$N$6*(C1157*$N$5-J1156))</f>
        <v/>
      </c>
      <c r="K1157">
        <f>IF(B1157="","",B1157-B1156)</f>
        <v/>
      </c>
    </row>
    <row r="1158">
      <c r="G1158">
        <f>IF(C1158="","",C1158*$N$5)</f>
        <v/>
      </c>
      <c r="H1158">
        <f>IF(C1158="","",AVERAGE(C1155:C1158)*$N$5)</f>
        <v/>
      </c>
      <c r="I1158">
        <f>IF(C1158="","",AVERAGE(C1143:C1158)*$N$5)</f>
        <v/>
      </c>
      <c r="J1158">
        <f>IF(C1158="","",J1157+$N$6*(C1158*$N$5-J1157))</f>
        <v/>
      </c>
      <c r="K1158">
        <f>IF(B1158="","",B1158-B1157)</f>
        <v/>
      </c>
    </row>
    <row r="1159">
      <c r="G1159">
        <f>IF(C1159="","",C1159*$N$5)</f>
        <v/>
      </c>
      <c r="H1159">
        <f>IF(C1159="","",AVERAGE(C1156:C1159)*$N$5)</f>
        <v/>
      </c>
      <c r="I1159">
        <f>IF(C1159="","",AVERAGE(C1144:C1159)*$N$5)</f>
        <v/>
      </c>
      <c r="J1159">
        <f>IF(C1159="","",J1158+$N$6*(C1159*$N$5-J1158))</f>
        <v/>
      </c>
      <c r="K1159">
        <f>IF(B1159="","",B1159-B1158)</f>
        <v/>
      </c>
    </row>
    <row r="1160">
      <c r="G1160">
        <f>IF(C1160="","",C1160*$N$5)</f>
        <v/>
      </c>
      <c r="H1160">
        <f>IF(C1160="","",AVERAGE(C1157:C1160)*$N$5)</f>
        <v/>
      </c>
      <c r="I1160">
        <f>IF(C1160="","",AVERAGE(C1145:C1160)*$N$5)</f>
        <v/>
      </c>
      <c r="J1160">
        <f>IF(C1160="","",J1159+$N$6*(C1160*$N$5-J1159))</f>
        <v/>
      </c>
      <c r="K1160">
        <f>IF(B1160="","",B1160-B1159)</f>
        <v/>
      </c>
    </row>
    <row r="1161">
      <c r="G1161">
        <f>IF(C1161="","",C1161*$N$5)</f>
        <v/>
      </c>
      <c r="H1161">
        <f>IF(C1161="","",AVERAGE(C1158:C1161)*$N$5)</f>
        <v/>
      </c>
      <c r="I1161">
        <f>IF(C1161="","",AVERAGE(C1146:C1161)*$N$5)</f>
        <v/>
      </c>
      <c r="J1161">
        <f>IF(C1161="","",J1160+$N$6*(C1161*$N$5-J1160))</f>
        <v/>
      </c>
      <c r="K1161">
        <f>IF(B1161="","",B1161-B1160)</f>
        <v/>
      </c>
    </row>
    <row r="1162">
      <c r="G1162">
        <f>IF(C1162="","",C1162*$N$5)</f>
        <v/>
      </c>
      <c r="H1162">
        <f>IF(C1162="","",AVERAGE(C1159:C1162)*$N$5)</f>
        <v/>
      </c>
      <c r="I1162">
        <f>IF(C1162="","",AVERAGE(C1147:C1162)*$N$5)</f>
        <v/>
      </c>
      <c r="J1162">
        <f>IF(C1162="","",J1161+$N$6*(C1162*$N$5-J1161))</f>
        <v/>
      </c>
      <c r="K1162">
        <f>IF(B1162="","",B1162-B1161)</f>
        <v/>
      </c>
    </row>
    <row r="1163">
      <c r="G1163">
        <f>IF(C1163="","",C1163*$N$5)</f>
        <v/>
      </c>
      <c r="H1163">
        <f>IF(C1163="","",AVERAGE(C1160:C1163)*$N$5)</f>
        <v/>
      </c>
      <c r="I1163">
        <f>IF(C1163="","",AVERAGE(C1148:C1163)*$N$5)</f>
        <v/>
      </c>
      <c r="J1163">
        <f>IF(C1163="","",J1162+$N$6*(C1163*$N$5-J1162))</f>
        <v/>
      </c>
      <c r="K1163">
        <f>IF(B1163="","",B1163-B1162)</f>
        <v/>
      </c>
    </row>
    <row r="1164">
      <c r="G1164">
        <f>IF(C1164="","",C1164*$N$5)</f>
        <v/>
      </c>
      <c r="H1164">
        <f>IF(C1164="","",AVERAGE(C1161:C1164)*$N$5)</f>
        <v/>
      </c>
      <c r="I1164">
        <f>IF(C1164="","",AVERAGE(C1149:C1164)*$N$5)</f>
        <v/>
      </c>
      <c r="J1164">
        <f>IF(C1164="","",J1163+$N$6*(C1164*$N$5-J1163))</f>
        <v/>
      </c>
      <c r="K1164">
        <f>IF(B1164="","",B1164-B1163)</f>
        <v/>
      </c>
    </row>
    <row r="1165">
      <c r="G1165">
        <f>IF(C1165="","",C1165*$N$5)</f>
        <v/>
      </c>
      <c r="H1165">
        <f>IF(C1165="","",AVERAGE(C1162:C1165)*$N$5)</f>
        <v/>
      </c>
      <c r="I1165">
        <f>IF(C1165="","",AVERAGE(C1150:C1165)*$N$5)</f>
        <v/>
      </c>
      <c r="J1165">
        <f>IF(C1165="","",J1164+$N$6*(C1165*$N$5-J1164))</f>
        <v/>
      </c>
      <c r="K1165">
        <f>IF(B1165="","",B1165-B1164)</f>
        <v/>
      </c>
    </row>
    <row r="1166">
      <c r="G1166">
        <f>IF(C1166="","",C1166*$N$5)</f>
        <v/>
      </c>
      <c r="H1166">
        <f>IF(C1166="","",AVERAGE(C1163:C1166)*$N$5)</f>
        <v/>
      </c>
      <c r="I1166">
        <f>IF(C1166="","",AVERAGE(C1151:C1166)*$N$5)</f>
        <v/>
      </c>
      <c r="J1166">
        <f>IF(C1166="","",J1165+$N$6*(C1166*$N$5-J1165))</f>
        <v/>
      </c>
      <c r="K1166">
        <f>IF(B1166="","",B1166-B1165)</f>
        <v/>
      </c>
    </row>
    <row r="1167">
      <c r="G1167">
        <f>IF(C1167="","",C1167*$N$5)</f>
        <v/>
      </c>
      <c r="H1167">
        <f>IF(C1167="","",AVERAGE(C1164:C1167)*$N$5)</f>
        <v/>
      </c>
      <c r="I1167">
        <f>IF(C1167="","",AVERAGE(C1152:C1167)*$N$5)</f>
        <v/>
      </c>
      <c r="J1167">
        <f>IF(C1167="","",J1166+$N$6*(C1167*$N$5-J1166))</f>
        <v/>
      </c>
      <c r="K1167">
        <f>IF(B1167="","",B1167-B1166)</f>
        <v/>
      </c>
    </row>
    <row r="1168">
      <c r="G1168">
        <f>IF(C1168="","",C1168*$N$5)</f>
        <v/>
      </c>
      <c r="H1168">
        <f>IF(C1168="","",AVERAGE(C1165:C1168)*$N$5)</f>
        <v/>
      </c>
      <c r="I1168">
        <f>IF(C1168="","",AVERAGE(C1153:C1168)*$N$5)</f>
        <v/>
      </c>
      <c r="J1168">
        <f>IF(C1168="","",J1167+$N$6*(C1168*$N$5-J1167))</f>
        <v/>
      </c>
      <c r="K1168">
        <f>IF(B1168="","",B1168-B1167)</f>
        <v/>
      </c>
    </row>
    <row r="1169">
      <c r="G1169">
        <f>IF(C1169="","",C1169*$N$5)</f>
        <v/>
      </c>
      <c r="H1169">
        <f>IF(C1169="","",AVERAGE(C1166:C1169)*$N$5)</f>
        <v/>
      </c>
      <c r="I1169">
        <f>IF(C1169="","",AVERAGE(C1154:C1169)*$N$5)</f>
        <v/>
      </c>
      <c r="J1169">
        <f>IF(C1169="","",J1168+$N$6*(C1169*$N$5-J1168))</f>
        <v/>
      </c>
      <c r="K1169">
        <f>IF(B1169="","",B1169-B1168)</f>
        <v/>
      </c>
    </row>
    <row r="1170">
      <c r="G1170">
        <f>IF(C1170="","",C1170*$N$5)</f>
        <v/>
      </c>
      <c r="H1170">
        <f>IF(C1170="","",AVERAGE(C1167:C1170)*$N$5)</f>
        <v/>
      </c>
      <c r="I1170">
        <f>IF(C1170="","",AVERAGE(C1155:C1170)*$N$5)</f>
        <v/>
      </c>
      <c r="J1170">
        <f>IF(C1170="","",J1169+$N$6*(C1170*$N$5-J1169))</f>
        <v/>
      </c>
      <c r="K1170">
        <f>IF(B1170="","",B1170-B1169)</f>
        <v/>
      </c>
    </row>
    <row r="1171">
      <c r="G1171">
        <f>IF(C1171="","",C1171*$N$5)</f>
        <v/>
      </c>
      <c r="H1171">
        <f>IF(C1171="","",AVERAGE(C1168:C1171)*$N$5)</f>
        <v/>
      </c>
      <c r="I1171">
        <f>IF(C1171="","",AVERAGE(C1156:C1171)*$N$5)</f>
        <v/>
      </c>
      <c r="J1171">
        <f>IF(C1171="","",J1170+$N$6*(C1171*$N$5-J1170))</f>
        <v/>
      </c>
      <c r="K1171">
        <f>IF(B1171="","",B1171-B1170)</f>
        <v/>
      </c>
    </row>
    <row r="1172">
      <c r="G1172">
        <f>IF(C1172="","",C1172*$N$5)</f>
        <v/>
      </c>
      <c r="H1172">
        <f>IF(C1172="","",AVERAGE(C1169:C1172)*$N$5)</f>
        <v/>
      </c>
      <c r="I1172">
        <f>IF(C1172="","",AVERAGE(C1157:C1172)*$N$5)</f>
        <v/>
      </c>
      <c r="J1172">
        <f>IF(C1172="","",J1171+$N$6*(C1172*$N$5-J1171))</f>
        <v/>
      </c>
      <c r="K1172">
        <f>IF(B1172="","",B1172-B1171)</f>
        <v/>
      </c>
    </row>
    <row r="1173">
      <c r="G1173">
        <f>IF(C1173="","",C1173*$N$5)</f>
        <v/>
      </c>
      <c r="H1173">
        <f>IF(C1173="","",AVERAGE(C1170:C1173)*$N$5)</f>
        <v/>
      </c>
      <c r="I1173">
        <f>IF(C1173="","",AVERAGE(C1158:C1173)*$N$5)</f>
        <v/>
      </c>
      <c r="J1173">
        <f>IF(C1173="","",J1172+$N$6*(C1173*$N$5-J1172))</f>
        <v/>
      </c>
      <c r="K1173">
        <f>IF(B1173="","",B1173-B1172)</f>
        <v/>
      </c>
    </row>
    <row r="1174">
      <c r="G1174">
        <f>IF(C1174="","",C1174*$N$5)</f>
        <v/>
      </c>
      <c r="H1174">
        <f>IF(C1174="","",AVERAGE(C1171:C1174)*$N$5)</f>
        <v/>
      </c>
      <c r="I1174">
        <f>IF(C1174="","",AVERAGE(C1159:C1174)*$N$5)</f>
        <v/>
      </c>
      <c r="J1174">
        <f>IF(C1174="","",J1173+$N$6*(C1174*$N$5-J1173))</f>
        <v/>
      </c>
      <c r="K1174">
        <f>IF(B1174="","",B1174-B1173)</f>
        <v/>
      </c>
    </row>
    <row r="1175">
      <c r="G1175">
        <f>IF(C1175="","",C1175*$N$5)</f>
        <v/>
      </c>
      <c r="H1175">
        <f>IF(C1175="","",AVERAGE(C1172:C1175)*$N$5)</f>
        <v/>
      </c>
      <c r="I1175">
        <f>IF(C1175="","",AVERAGE(C1160:C1175)*$N$5)</f>
        <v/>
      </c>
      <c r="J1175">
        <f>IF(C1175="","",J1174+$N$6*(C1175*$N$5-J1174))</f>
        <v/>
      </c>
      <c r="K1175">
        <f>IF(B1175="","",B1175-B1174)</f>
        <v/>
      </c>
    </row>
    <row r="1176">
      <c r="G1176">
        <f>IF(C1176="","",C1176*$N$5)</f>
        <v/>
      </c>
      <c r="H1176">
        <f>IF(C1176="","",AVERAGE(C1173:C1176)*$N$5)</f>
        <v/>
      </c>
      <c r="I1176">
        <f>IF(C1176="","",AVERAGE(C1161:C1176)*$N$5)</f>
        <v/>
      </c>
      <c r="J1176">
        <f>IF(C1176="","",J1175+$N$6*(C1176*$N$5-J1175))</f>
        <v/>
      </c>
      <c r="K1176">
        <f>IF(B1176="","",B1176-B1175)</f>
        <v/>
      </c>
    </row>
    <row r="1177">
      <c r="G1177">
        <f>IF(C1177="","",C1177*$N$5)</f>
        <v/>
      </c>
      <c r="H1177">
        <f>IF(C1177="","",AVERAGE(C1174:C1177)*$N$5)</f>
        <v/>
      </c>
      <c r="I1177">
        <f>IF(C1177="","",AVERAGE(C1162:C1177)*$N$5)</f>
        <v/>
      </c>
      <c r="J1177">
        <f>IF(C1177="","",J1176+$N$6*(C1177*$N$5-J1176))</f>
        <v/>
      </c>
      <c r="K1177">
        <f>IF(B1177="","",B1177-B1176)</f>
        <v/>
      </c>
    </row>
    <row r="1178">
      <c r="G1178">
        <f>IF(C1178="","",C1178*$N$5)</f>
        <v/>
      </c>
      <c r="H1178">
        <f>IF(C1178="","",AVERAGE(C1175:C1178)*$N$5)</f>
        <v/>
      </c>
      <c r="I1178">
        <f>IF(C1178="","",AVERAGE(C1163:C1178)*$N$5)</f>
        <v/>
      </c>
      <c r="J1178">
        <f>IF(C1178="","",J1177+$N$6*(C1178*$N$5-J1177))</f>
        <v/>
      </c>
      <c r="K1178">
        <f>IF(B1178="","",B1178-B1177)</f>
        <v/>
      </c>
    </row>
    <row r="1179">
      <c r="G1179">
        <f>IF(C1179="","",C1179*$N$5)</f>
        <v/>
      </c>
      <c r="H1179">
        <f>IF(C1179="","",AVERAGE(C1176:C1179)*$N$5)</f>
        <v/>
      </c>
      <c r="I1179">
        <f>IF(C1179="","",AVERAGE(C1164:C1179)*$N$5)</f>
        <v/>
      </c>
      <c r="J1179">
        <f>IF(C1179="","",J1178+$N$6*(C1179*$N$5-J1178))</f>
        <v/>
      </c>
      <c r="K1179">
        <f>IF(B1179="","",B1179-B1178)</f>
        <v/>
      </c>
    </row>
    <row r="1180">
      <c r="G1180">
        <f>IF(C1180="","",C1180*$N$5)</f>
        <v/>
      </c>
      <c r="H1180">
        <f>IF(C1180="","",AVERAGE(C1177:C1180)*$N$5)</f>
        <v/>
      </c>
      <c r="I1180">
        <f>IF(C1180="","",AVERAGE(C1165:C1180)*$N$5)</f>
        <v/>
      </c>
      <c r="J1180">
        <f>IF(C1180="","",J1179+$N$6*(C1180*$N$5-J1179))</f>
        <v/>
      </c>
      <c r="K1180">
        <f>IF(B1180="","",B1180-B1179)</f>
        <v/>
      </c>
    </row>
    <row r="1181">
      <c r="G1181">
        <f>IF(C1181="","",C1181*$N$5)</f>
        <v/>
      </c>
      <c r="H1181">
        <f>IF(C1181="","",AVERAGE(C1178:C1181)*$N$5)</f>
        <v/>
      </c>
      <c r="I1181">
        <f>IF(C1181="","",AVERAGE(C1166:C1181)*$N$5)</f>
        <v/>
      </c>
      <c r="J1181">
        <f>IF(C1181="","",J1180+$N$6*(C1181*$N$5-J1180))</f>
        <v/>
      </c>
      <c r="K1181">
        <f>IF(B1181="","",B1181-B1180)</f>
        <v/>
      </c>
    </row>
    <row r="1182">
      <c r="G1182">
        <f>IF(C1182="","",C1182*$N$5)</f>
        <v/>
      </c>
      <c r="H1182">
        <f>IF(C1182="","",AVERAGE(C1179:C1182)*$N$5)</f>
        <v/>
      </c>
      <c r="I1182">
        <f>IF(C1182="","",AVERAGE(C1167:C1182)*$N$5)</f>
        <v/>
      </c>
      <c r="J1182">
        <f>IF(C1182="","",J1181+$N$6*(C1182*$N$5-J1181))</f>
        <v/>
      </c>
      <c r="K1182">
        <f>IF(B1182="","",B1182-B1181)</f>
        <v/>
      </c>
    </row>
    <row r="1183">
      <c r="G1183">
        <f>IF(C1183="","",C1183*$N$5)</f>
        <v/>
      </c>
      <c r="H1183">
        <f>IF(C1183="","",AVERAGE(C1180:C1183)*$N$5)</f>
        <v/>
      </c>
      <c r="I1183">
        <f>IF(C1183="","",AVERAGE(C1168:C1183)*$N$5)</f>
        <v/>
      </c>
      <c r="J1183">
        <f>IF(C1183="","",J1182+$N$6*(C1183*$N$5-J1182))</f>
        <v/>
      </c>
      <c r="K1183">
        <f>IF(B1183="","",B1183-B1182)</f>
        <v/>
      </c>
    </row>
    <row r="1184">
      <c r="G1184">
        <f>IF(C1184="","",C1184*$N$5)</f>
        <v/>
      </c>
      <c r="H1184">
        <f>IF(C1184="","",AVERAGE(C1181:C1184)*$N$5)</f>
        <v/>
      </c>
      <c r="I1184">
        <f>IF(C1184="","",AVERAGE(C1169:C1184)*$N$5)</f>
        <v/>
      </c>
      <c r="J1184">
        <f>IF(C1184="","",J1183+$N$6*(C1184*$N$5-J1183))</f>
        <v/>
      </c>
      <c r="K1184">
        <f>IF(B1184="","",B1184-B1183)</f>
        <v/>
      </c>
    </row>
    <row r="1185">
      <c r="G1185">
        <f>IF(C1185="","",C1185*$N$5)</f>
        <v/>
      </c>
      <c r="H1185">
        <f>IF(C1185="","",AVERAGE(C1182:C1185)*$N$5)</f>
        <v/>
      </c>
      <c r="I1185">
        <f>IF(C1185="","",AVERAGE(C1170:C1185)*$N$5)</f>
        <v/>
      </c>
      <c r="J1185">
        <f>IF(C1185="","",J1184+$N$6*(C1185*$N$5-J1184))</f>
        <v/>
      </c>
      <c r="K1185">
        <f>IF(B1185="","",B1185-B1184)</f>
        <v/>
      </c>
    </row>
    <row r="1186">
      <c r="G1186">
        <f>IF(C1186="","",C1186*$N$5)</f>
        <v/>
      </c>
      <c r="H1186">
        <f>IF(C1186="","",AVERAGE(C1183:C1186)*$N$5)</f>
        <v/>
      </c>
      <c r="I1186">
        <f>IF(C1186="","",AVERAGE(C1171:C1186)*$N$5)</f>
        <v/>
      </c>
      <c r="J1186">
        <f>IF(C1186="","",J1185+$N$6*(C1186*$N$5-J1185))</f>
        <v/>
      </c>
      <c r="K1186">
        <f>IF(B1186="","",B1186-B1185)</f>
        <v/>
      </c>
    </row>
    <row r="1187">
      <c r="G1187">
        <f>IF(C1187="","",C1187*$N$5)</f>
        <v/>
      </c>
      <c r="H1187">
        <f>IF(C1187="","",AVERAGE(C1184:C1187)*$N$5)</f>
        <v/>
      </c>
      <c r="I1187">
        <f>IF(C1187="","",AVERAGE(C1172:C1187)*$N$5)</f>
        <v/>
      </c>
      <c r="J1187">
        <f>IF(C1187="","",J1186+$N$6*(C1187*$N$5-J1186))</f>
        <v/>
      </c>
      <c r="K1187">
        <f>IF(B1187="","",B1187-B1186)</f>
        <v/>
      </c>
    </row>
    <row r="1188">
      <c r="G1188">
        <f>IF(C1188="","",C1188*$N$5)</f>
        <v/>
      </c>
      <c r="H1188">
        <f>IF(C1188="","",AVERAGE(C1185:C1188)*$N$5)</f>
        <v/>
      </c>
      <c r="I1188">
        <f>IF(C1188="","",AVERAGE(C1173:C1188)*$N$5)</f>
        <v/>
      </c>
      <c r="J1188">
        <f>IF(C1188="","",J1187+$N$6*(C1188*$N$5-J1187))</f>
        <v/>
      </c>
      <c r="K1188">
        <f>IF(B1188="","",B1188-B1187)</f>
        <v/>
      </c>
    </row>
    <row r="1189">
      <c r="G1189">
        <f>IF(C1189="","",C1189*$N$5)</f>
        <v/>
      </c>
      <c r="H1189">
        <f>IF(C1189="","",AVERAGE(C1186:C1189)*$N$5)</f>
        <v/>
      </c>
      <c r="I1189">
        <f>IF(C1189="","",AVERAGE(C1174:C1189)*$N$5)</f>
        <v/>
      </c>
      <c r="J1189">
        <f>IF(C1189="","",J1188+$N$6*(C1189*$N$5-J1188))</f>
        <v/>
      </c>
      <c r="K1189">
        <f>IF(B1189="","",B1189-B1188)</f>
        <v/>
      </c>
    </row>
    <row r="1190">
      <c r="G1190">
        <f>IF(C1190="","",C1190*$N$5)</f>
        <v/>
      </c>
      <c r="H1190">
        <f>IF(C1190="","",AVERAGE(C1187:C1190)*$N$5)</f>
        <v/>
      </c>
      <c r="I1190">
        <f>IF(C1190="","",AVERAGE(C1175:C1190)*$N$5)</f>
        <v/>
      </c>
      <c r="J1190">
        <f>IF(C1190="","",J1189+$N$6*(C1190*$N$5-J1189))</f>
        <v/>
      </c>
      <c r="K1190">
        <f>IF(B1190="","",B1190-B1189)</f>
        <v/>
      </c>
    </row>
    <row r="1191">
      <c r="G1191">
        <f>IF(C1191="","",C1191*$N$5)</f>
        <v/>
      </c>
      <c r="H1191">
        <f>IF(C1191="","",AVERAGE(C1188:C1191)*$N$5)</f>
        <v/>
      </c>
      <c r="I1191">
        <f>IF(C1191="","",AVERAGE(C1176:C1191)*$N$5)</f>
        <v/>
      </c>
      <c r="J1191">
        <f>IF(C1191="","",J1190+$N$6*(C1191*$N$5-J1190))</f>
        <v/>
      </c>
      <c r="K1191">
        <f>IF(B1191="","",B1191-B1190)</f>
        <v/>
      </c>
    </row>
    <row r="1192">
      <c r="G1192">
        <f>IF(C1192="","",C1192*$N$5)</f>
        <v/>
      </c>
      <c r="H1192">
        <f>IF(C1192="","",AVERAGE(C1189:C1192)*$N$5)</f>
        <v/>
      </c>
      <c r="I1192">
        <f>IF(C1192="","",AVERAGE(C1177:C1192)*$N$5)</f>
        <v/>
      </c>
      <c r="J1192">
        <f>IF(C1192="","",J1191+$N$6*(C1192*$N$5-J1191))</f>
        <v/>
      </c>
      <c r="K1192">
        <f>IF(B1192="","",B1192-B1191)</f>
        <v/>
      </c>
    </row>
    <row r="1193">
      <c r="G1193">
        <f>IF(C1193="","",C1193*$N$5)</f>
        <v/>
      </c>
      <c r="H1193">
        <f>IF(C1193="","",AVERAGE(C1190:C1193)*$N$5)</f>
        <v/>
      </c>
      <c r="I1193">
        <f>IF(C1193="","",AVERAGE(C1178:C1193)*$N$5)</f>
        <v/>
      </c>
      <c r="J1193">
        <f>IF(C1193="","",J1192+$N$6*(C1193*$N$5-J1192))</f>
        <v/>
      </c>
      <c r="K1193">
        <f>IF(B1193="","",B1193-B1192)</f>
        <v/>
      </c>
    </row>
    <row r="1194">
      <c r="G1194">
        <f>IF(C1194="","",C1194*$N$5)</f>
        <v/>
      </c>
      <c r="H1194">
        <f>IF(C1194="","",AVERAGE(C1191:C1194)*$N$5)</f>
        <v/>
      </c>
      <c r="I1194">
        <f>IF(C1194="","",AVERAGE(C1179:C1194)*$N$5)</f>
        <v/>
      </c>
      <c r="J1194">
        <f>IF(C1194="","",J1193+$N$6*(C1194*$N$5-J1193))</f>
        <v/>
      </c>
      <c r="K1194">
        <f>IF(B1194="","",B1194-B1193)</f>
        <v/>
      </c>
    </row>
    <row r="1195">
      <c r="G1195">
        <f>IF(C1195="","",C1195*$N$5)</f>
        <v/>
      </c>
      <c r="H1195">
        <f>IF(C1195="","",AVERAGE(C1192:C1195)*$N$5)</f>
        <v/>
      </c>
      <c r="I1195">
        <f>IF(C1195="","",AVERAGE(C1180:C1195)*$N$5)</f>
        <v/>
      </c>
      <c r="J1195">
        <f>IF(C1195="","",J1194+$N$6*(C1195*$N$5-J1194))</f>
        <v/>
      </c>
      <c r="K1195">
        <f>IF(B1195="","",B1195-B1194)</f>
        <v/>
      </c>
    </row>
    <row r="1196">
      <c r="G1196">
        <f>IF(C1196="","",C1196*$N$5)</f>
        <v/>
      </c>
      <c r="H1196">
        <f>IF(C1196="","",AVERAGE(C1193:C1196)*$N$5)</f>
        <v/>
      </c>
      <c r="I1196">
        <f>IF(C1196="","",AVERAGE(C1181:C1196)*$N$5)</f>
        <v/>
      </c>
      <c r="J1196">
        <f>IF(C1196="","",J1195+$N$6*(C1196*$N$5-J1195))</f>
        <v/>
      </c>
      <c r="K1196">
        <f>IF(B1196="","",B1196-B1195)</f>
        <v/>
      </c>
    </row>
    <row r="1197">
      <c r="G1197">
        <f>IF(C1197="","",C1197*$N$5)</f>
        <v/>
      </c>
      <c r="H1197">
        <f>IF(C1197="","",AVERAGE(C1194:C1197)*$N$5)</f>
        <v/>
      </c>
      <c r="I1197">
        <f>IF(C1197="","",AVERAGE(C1182:C1197)*$N$5)</f>
        <v/>
      </c>
      <c r="J1197">
        <f>IF(C1197="","",J1196+$N$6*(C1197*$N$5-J1196))</f>
        <v/>
      </c>
      <c r="K1197">
        <f>IF(B1197="","",B1197-B1196)</f>
        <v/>
      </c>
    </row>
    <row r="1198">
      <c r="G1198">
        <f>IF(C1198="","",C1198*$N$5)</f>
        <v/>
      </c>
      <c r="H1198">
        <f>IF(C1198="","",AVERAGE(C1195:C1198)*$N$5)</f>
        <v/>
      </c>
      <c r="I1198">
        <f>IF(C1198="","",AVERAGE(C1183:C1198)*$N$5)</f>
        <v/>
      </c>
      <c r="J1198">
        <f>IF(C1198="","",J1197+$N$6*(C1198*$N$5-J1197))</f>
        <v/>
      </c>
      <c r="K1198">
        <f>IF(B1198="","",B1198-B1197)</f>
        <v/>
      </c>
    </row>
    <row r="1199">
      <c r="G1199">
        <f>IF(C1199="","",C1199*$N$5)</f>
        <v/>
      </c>
      <c r="H1199">
        <f>IF(C1199="","",AVERAGE(C1196:C1199)*$N$5)</f>
        <v/>
      </c>
      <c r="I1199">
        <f>IF(C1199="","",AVERAGE(C1184:C1199)*$N$5)</f>
        <v/>
      </c>
      <c r="J1199">
        <f>IF(C1199="","",J1198+$N$6*(C1199*$N$5-J1198))</f>
        <v/>
      </c>
      <c r="K1199">
        <f>IF(B1199="","",B1199-B1198)</f>
        <v/>
      </c>
    </row>
    <row r="1200">
      <c r="G1200">
        <f>IF(C1200="","",C1200*$N$5)</f>
        <v/>
      </c>
      <c r="H1200">
        <f>IF(C1200="","",AVERAGE(C1197:C1200)*$N$5)</f>
        <v/>
      </c>
      <c r="I1200">
        <f>IF(C1200="","",AVERAGE(C1185:C1200)*$N$5)</f>
        <v/>
      </c>
      <c r="J1200">
        <f>IF(C1200="","",J1199+$N$6*(C1200*$N$5-J1199))</f>
        <v/>
      </c>
      <c r="K1200">
        <f>IF(B1200="","",B1200-B1199)</f>
        <v/>
      </c>
    </row>
    <row r="1201">
      <c r="G1201">
        <f>IF(C1201="","",C1201*$N$5)</f>
        <v/>
      </c>
      <c r="H1201">
        <f>IF(C1201="","",AVERAGE(C1198:C1201)*$N$5)</f>
        <v/>
      </c>
      <c r="I1201">
        <f>IF(C1201="","",AVERAGE(C1186:C1201)*$N$5)</f>
        <v/>
      </c>
      <c r="J1201">
        <f>IF(C1201="","",J1200+$N$6*(C1201*$N$5-J1200))</f>
        <v/>
      </c>
      <c r="K1201">
        <f>IF(B1201="","",B1201-B1200)</f>
        <v/>
      </c>
    </row>
    <row r="1202">
      <c r="G1202">
        <f>IF(C1202="","",C1202*$N$5)</f>
        <v/>
      </c>
      <c r="H1202">
        <f>IF(C1202="","",AVERAGE(C1199:C1202)*$N$5)</f>
        <v/>
      </c>
      <c r="I1202">
        <f>IF(C1202="","",AVERAGE(C1187:C1202)*$N$5)</f>
        <v/>
      </c>
      <c r="J1202">
        <f>IF(C1202="","",J1201+$N$6*(C1202*$N$5-J1201))</f>
        <v/>
      </c>
      <c r="K1202">
        <f>IF(B1202="","",B1202-B1201)</f>
        <v/>
      </c>
    </row>
    <row r="1203">
      <c r="G1203">
        <f>IF(C1203="","",C1203*$N$5)</f>
        <v/>
      </c>
      <c r="H1203">
        <f>IF(C1203="","",AVERAGE(C1200:C1203)*$N$5)</f>
        <v/>
      </c>
      <c r="I1203">
        <f>IF(C1203="","",AVERAGE(C1188:C1203)*$N$5)</f>
        <v/>
      </c>
      <c r="J1203">
        <f>IF(C1203="","",J1202+$N$6*(C1203*$N$5-J1202))</f>
        <v/>
      </c>
      <c r="K1203">
        <f>IF(B1203="","",B1203-B1202)</f>
        <v/>
      </c>
    </row>
    <row r="1204">
      <c r="G1204">
        <f>IF(C1204="","",C1204*$N$5)</f>
        <v/>
      </c>
      <c r="H1204">
        <f>IF(C1204="","",AVERAGE(C1201:C1204)*$N$5)</f>
        <v/>
      </c>
      <c r="I1204">
        <f>IF(C1204="","",AVERAGE(C1189:C1204)*$N$5)</f>
        <v/>
      </c>
      <c r="J1204">
        <f>IF(C1204="","",J1203+$N$6*(C1204*$N$5-J1203))</f>
        <v/>
      </c>
      <c r="K1204">
        <f>IF(B1204="","",B1204-B1203)</f>
        <v/>
      </c>
    </row>
    <row r="1205">
      <c r="G1205">
        <f>IF(C1205="","",C1205*$N$5)</f>
        <v/>
      </c>
      <c r="H1205">
        <f>IF(C1205="","",AVERAGE(C1202:C1205)*$N$5)</f>
        <v/>
      </c>
      <c r="I1205">
        <f>IF(C1205="","",AVERAGE(C1190:C1205)*$N$5)</f>
        <v/>
      </c>
      <c r="J1205">
        <f>IF(C1205="","",J1204+$N$6*(C1205*$N$5-J1204))</f>
        <v/>
      </c>
      <c r="K1205">
        <f>IF(B1205="","",B1205-B1204)</f>
        <v/>
      </c>
    </row>
    <row r="1206">
      <c r="G1206">
        <f>IF(C1206="","",C1206*$N$5)</f>
        <v/>
      </c>
      <c r="H1206">
        <f>IF(C1206="","",AVERAGE(C1203:C1206)*$N$5)</f>
        <v/>
      </c>
      <c r="I1206">
        <f>IF(C1206="","",AVERAGE(C1191:C1206)*$N$5)</f>
        <v/>
      </c>
      <c r="J1206">
        <f>IF(C1206="","",J1205+$N$6*(C1206*$N$5-J1205))</f>
        <v/>
      </c>
      <c r="K1206">
        <f>IF(B1206="","",B1206-B1205)</f>
        <v/>
      </c>
    </row>
    <row r="1207">
      <c r="G1207">
        <f>IF(C1207="","",C1207*$N$5)</f>
        <v/>
      </c>
      <c r="H1207">
        <f>IF(C1207="","",AVERAGE(C1204:C1207)*$N$5)</f>
        <v/>
      </c>
      <c r="I1207">
        <f>IF(C1207="","",AVERAGE(C1192:C1207)*$N$5)</f>
        <v/>
      </c>
      <c r="J1207">
        <f>IF(C1207="","",J1206+$N$6*(C1207*$N$5-J1206))</f>
        <v/>
      </c>
      <c r="K1207">
        <f>IF(B1207="","",B1207-B1206)</f>
        <v/>
      </c>
    </row>
    <row r="1208">
      <c r="G1208">
        <f>IF(C1208="","",C1208*$N$5)</f>
        <v/>
      </c>
      <c r="H1208">
        <f>IF(C1208="","",AVERAGE(C1205:C1208)*$N$5)</f>
        <v/>
      </c>
      <c r="I1208">
        <f>IF(C1208="","",AVERAGE(C1193:C1208)*$N$5)</f>
        <v/>
      </c>
      <c r="J1208">
        <f>IF(C1208="","",J1207+$N$6*(C1208*$N$5-J1207))</f>
        <v/>
      </c>
      <c r="K1208">
        <f>IF(B1208="","",B1208-B1207)</f>
        <v/>
      </c>
    </row>
    <row r="1209">
      <c r="G1209">
        <f>IF(C1209="","",C1209*$N$5)</f>
        <v/>
      </c>
      <c r="H1209">
        <f>IF(C1209="","",AVERAGE(C1206:C1209)*$N$5)</f>
        <v/>
      </c>
      <c r="I1209">
        <f>IF(C1209="","",AVERAGE(C1194:C1209)*$N$5)</f>
        <v/>
      </c>
      <c r="J1209">
        <f>IF(C1209="","",J1208+$N$6*(C1209*$N$5-J1208))</f>
        <v/>
      </c>
      <c r="K1209">
        <f>IF(B1209="","",B1209-B1208)</f>
        <v/>
      </c>
    </row>
    <row r="1210">
      <c r="G1210">
        <f>IF(C1210="","",C1210*$N$5)</f>
        <v/>
      </c>
      <c r="H1210">
        <f>IF(C1210="","",AVERAGE(C1207:C1210)*$N$5)</f>
        <v/>
      </c>
      <c r="I1210">
        <f>IF(C1210="","",AVERAGE(C1195:C1210)*$N$5)</f>
        <v/>
      </c>
      <c r="J1210">
        <f>IF(C1210="","",J1209+$N$6*(C1210*$N$5-J1209))</f>
        <v/>
      </c>
      <c r="K1210">
        <f>IF(B1210="","",B1210-B1209)</f>
        <v/>
      </c>
    </row>
    <row r="1211">
      <c r="G1211">
        <f>IF(C1211="","",C1211*$N$5)</f>
        <v/>
      </c>
      <c r="H1211">
        <f>IF(C1211="","",AVERAGE(C1208:C1211)*$N$5)</f>
        <v/>
      </c>
      <c r="I1211">
        <f>IF(C1211="","",AVERAGE(C1196:C1211)*$N$5)</f>
        <v/>
      </c>
      <c r="J1211">
        <f>IF(C1211="","",J1210+$N$6*(C1211*$N$5-J1210))</f>
        <v/>
      </c>
      <c r="K1211">
        <f>IF(B1211="","",B1211-B1210)</f>
        <v/>
      </c>
    </row>
    <row r="1212">
      <c r="G1212">
        <f>IF(C1212="","",C1212*$N$5)</f>
        <v/>
      </c>
      <c r="H1212">
        <f>IF(C1212="","",AVERAGE(C1209:C1212)*$N$5)</f>
        <v/>
      </c>
      <c r="I1212">
        <f>IF(C1212="","",AVERAGE(C1197:C1212)*$N$5)</f>
        <v/>
      </c>
      <c r="J1212">
        <f>IF(C1212="","",J1211+$N$6*(C1212*$N$5-J1211))</f>
        <v/>
      </c>
      <c r="K1212">
        <f>IF(B1212="","",B1212-B1211)</f>
        <v/>
      </c>
    </row>
    <row r="1213">
      <c r="G1213">
        <f>IF(C1213="","",C1213*$N$5)</f>
        <v/>
      </c>
      <c r="H1213">
        <f>IF(C1213="","",AVERAGE(C1210:C1213)*$N$5)</f>
        <v/>
      </c>
      <c r="I1213">
        <f>IF(C1213="","",AVERAGE(C1198:C1213)*$N$5)</f>
        <v/>
      </c>
      <c r="J1213">
        <f>IF(C1213="","",J1212+$N$6*(C1213*$N$5-J1212))</f>
        <v/>
      </c>
      <c r="K1213">
        <f>IF(B1213="","",B1213-B1212)</f>
        <v/>
      </c>
    </row>
    <row r="1214">
      <c r="G1214">
        <f>IF(C1214="","",C1214*$N$5)</f>
        <v/>
      </c>
      <c r="H1214">
        <f>IF(C1214="","",AVERAGE(C1211:C1214)*$N$5)</f>
        <v/>
      </c>
      <c r="I1214">
        <f>IF(C1214="","",AVERAGE(C1199:C1214)*$N$5)</f>
        <v/>
      </c>
      <c r="J1214">
        <f>IF(C1214="","",J1213+$N$6*(C1214*$N$5-J1213))</f>
        <v/>
      </c>
      <c r="K1214">
        <f>IF(B1214="","",B1214-B1213)</f>
        <v/>
      </c>
    </row>
    <row r="1215">
      <c r="G1215">
        <f>IF(C1215="","",C1215*$N$5)</f>
        <v/>
      </c>
      <c r="H1215">
        <f>IF(C1215="","",AVERAGE(C1212:C1215)*$N$5)</f>
        <v/>
      </c>
      <c r="I1215">
        <f>IF(C1215="","",AVERAGE(C1200:C1215)*$N$5)</f>
        <v/>
      </c>
      <c r="J1215">
        <f>IF(C1215="","",J1214+$N$6*(C1215*$N$5-J1214))</f>
        <v/>
      </c>
      <c r="K1215">
        <f>IF(B1215="","",B1215-B1214)</f>
        <v/>
      </c>
    </row>
    <row r="1216">
      <c r="G1216">
        <f>IF(C1216="","",C1216*$N$5)</f>
        <v/>
      </c>
      <c r="H1216">
        <f>IF(C1216="","",AVERAGE(C1213:C1216)*$N$5)</f>
        <v/>
      </c>
      <c r="I1216">
        <f>IF(C1216="","",AVERAGE(C1201:C1216)*$N$5)</f>
        <v/>
      </c>
      <c r="J1216">
        <f>IF(C1216="","",J1215+$N$6*(C1216*$N$5-J1215))</f>
        <v/>
      </c>
      <c r="K1216">
        <f>IF(B1216="","",B1216-B1215)</f>
        <v/>
      </c>
    </row>
    <row r="1217">
      <c r="G1217">
        <f>IF(C1217="","",C1217*$N$5)</f>
        <v/>
      </c>
      <c r="H1217">
        <f>IF(C1217="","",AVERAGE(C1214:C1217)*$N$5)</f>
        <v/>
      </c>
      <c r="I1217">
        <f>IF(C1217="","",AVERAGE(C1202:C1217)*$N$5)</f>
        <v/>
      </c>
      <c r="J1217">
        <f>IF(C1217="","",J1216+$N$6*(C1217*$N$5-J1216))</f>
        <v/>
      </c>
      <c r="K1217">
        <f>IF(B1217="","",B1217-B1216)</f>
        <v/>
      </c>
    </row>
    <row r="1218">
      <c r="G1218">
        <f>IF(C1218="","",C1218*$N$5)</f>
        <v/>
      </c>
      <c r="H1218">
        <f>IF(C1218="","",AVERAGE(C1215:C1218)*$N$5)</f>
        <v/>
      </c>
      <c r="I1218">
        <f>IF(C1218="","",AVERAGE(C1203:C1218)*$N$5)</f>
        <v/>
      </c>
      <c r="J1218">
        <f>IF(C1218="","",J1217+$N$6*(C1218*$N$5-J1217))</f>
        <v/>
      </c>
      <c r="K1218">
        <f>IF(B1218="","",B1218-B1217)</f>
        <v/>
      </c>
    </row>
    <row r="1219">
      <c r="G1219">
        <f>IF(C1219="","",C1219*$N$5)</f>
        <v/>
      </c>
      <c r="H1219">
        <f>IF(C1219="","",AVERAGE(C1216:C1219)*$N$5)</f>
        <v/>
      </c>
      <c r="I1219">
        <f>IF(C1219="","",AVERAGE(C1204:C1219)*$N$5)</f>
        <v/>
      </c>
      <c r="J1219">
        <f>IF(C1219="","",J1218+$N$6*(C1219*$N$5-J1218))</f>
        <v/>
      </c>
      <c r="K1219">
        <f>IF(B1219="","",B1219-B1218)</f>
        <v/>
      </c>
    </row>
    <row r="1220">
      <c r="G1220">
        <f>IF(C1220="","",C1220*$N$5)</f>
        <v/>
      </c>
      <c r="H1220">
        <f>IF(C1220="","",AVERAGE(C1217:C1220)*$N$5)</f>
        <v/>
      </c>
      <c r="I1220">
        <f>IF(C1220="","",AVERAGE(C1205:C1220)*$N$5)</f>
        <v/>
      </c>
      <c r="J1220">
        <f>IF(C1220="","",J1219+$N$6*(C1220*$N$5-J1219))</f>
        <v/>
      </c>
      <c r="K1220">
        <f>IF(B1220="","",B1220-B1219)</f>
        <v/>
      </c>
    </row>
    <row r="1221">
      <c r="G1221">
        <f>IF(C1221="","",C1221*$N$5)</f>
        <v/>
      </c>
      <c r="H1221">
        <f>IF(C1221="","",AVERAGE(C1218:C1221)*$N$5)</f>
        <v/>
      </c>
      <c r="I1221">
        <f>IF(C1221="","",AVERAGE(C1206:C1221)*$N$5)</f>
        <v/>
      </c>
      <c r="J1221">
        <f>IF(C1221="","",J1220+$N$6*(C1221*$N$5-J1220))</f>
        <v/>
      </c>
      <c r="K1221">
        <f>IF(B1221="","",B1221-B1220)</f>
        <v/>
      </c>
    </row>
    <row r="1222">
      <c r="G1222">
        <f>IF(C1222="","",C1222*$N$5)</f>
        <v/>
      </c>
      <c r="H1222">
        <f>IF(C1222="","",AVERAGE(C1219:C1222)*$N$5)</f>
        <v/>
      </c>
      <c r="I1222">
        <f>IF(C1222="","",AVERAGE(C1207:C1222)*$N$5)</f>
        <v/>
      </c>
      <c r="J1222">
        <f>IF(C1222="","",J1221+$N$6*(C1222*$N$5-J1221))</f>
        <v/>
      </c>
      <c r="K1222">
        <f>IF(B1222="","",B1222-B1221)</f>
        <v/>
      </c>
    </row>
    <row r="1223">
      <c r="G1223">
        <f>IF(C1223="","",C1223*$N$5)</f>
        <v/>
      </c>
      <c r="H1223">
        <f>IF(C1223="","",AVERAGE(C1220:C1223)*$N$5)</f>
        <v/>
      </c>
      <c r="I1223">
        <f>IF(C1223="","",AVERAGE(C1208:C1223)*$N$5)</f>
        <v/>
      </c>
      <c r="J1223">
        <f>IF(C1223="","",J1222+$N$6*(C1223*$N$5-J1222))</f>
        <v/>
      </c>
      <c r="K1223">
        <f>IF(B1223="","",B1223-B1222)</f>
        <v/>
      </c>
    </row>
    <row r="1224">
      <c r="G1224">
        <f>IF(C1224="","",C1224*$N$5)</f>
        <v/>
      </c>
      <c r="H1224">
        <f>IF(C1224="","",AVERAGE(C1221:C1224)*$N$5)</f>
        <v/>
      </c>
      <c r="I1224">
        <f>IF(C1224="","",AVERAGE(C1209:C1224)*$N$5)</f>
        <v/>
      </c>
      <c r="J1224">
        <f>IF(C1224="","",J1223+$N$6*(C1224*$N$5-J1223))</f>
        <v/>
      </c>
      <c r="K1224">
        <f>IF(B1224="","",B1224-B1223)</f>
        <v/>
      </c>
    </row>
    <row r="1225">
      <c r="G1225">
        <f>IF(C1225="","",C1225*$N$5)</f>
        <v/>
      </c>
      <c r="H1225">
        <f>IF(C1225="","",AVERAGE(C1222:C1225)*$N$5)</f>
        <v/>
      </c>
      <c r="I1225">
        <f>IF(C1225="","",AVERAGE(C1210:C1225)*$N$5)</f>
        <v/>
      </c>
      <c r="J1225">
        <f>IF(C1225="","",J1224+$N$6*(C1225*$N$5-J1224))</f>
        <v/>
      </c>
      <c r="K1225">
        <f>IF(B1225="","",B1225-B1224)</f>
        <v/>
      </c>
    </row>
    <row r="1226">
      <c r="G1226">
        <f>IF(C1226="","",C1226*$N$5)</f>
        <v/>
      </c>
      <c r="H1226">
        <f>IF(C1226="","",AVERAGE(C1223:C1226)*$N$5)</f>
        <v/>
      </c>
      <c r="I1226">
        <f>IF(C1226="","",AVERAGE(C1211:C1226)*$N$5)</f>
        <v/>
      </c>
      <c r="J1226">
        <f>IF(C1226="","",J1225+$N$6*(C1226*$N$5-J1225))</f>
        <v/>
      </c>
      <c r="K1226">
        <f>IF(B1226="","",B1226-B1225)</f>
        <v/>
      </c>
    </row>
    <row r="1227">
      <c r="G1227">
        <f>IF(C1227="","",C1227*$N$5)</f>
        <v/>
      </c>
      <c r="H1227">
        <f>IF(C1227="","",AVERAGE(C1224:C1227)*$N$5)</f>
        <v/>
      </c>
      <c r="I1227">
        <f>IF(C1227="","",AVERAGE(C1212:C1227)*$N$5)</f>
        <v/>
      </c>
      <c r="J1227">
        <f>IF(C1227="","",J1226+$N$6*(C1227*$N$5-J1226))</f>
        <v/>
      </c>
      <c r="K1227">
        <f>IF(B1227="","",B1227-B1226)</f>
        <v/>
      </c>
    </row>
    <row r="1228">
      <c r="G1228">
        <f>IF(C1228="","",C1228*$N$5)</f>
        <v/>
      </c>
      <c r="H1228">
        <f>IF(C1228="","",AVERAGE(C1225:C1228)*$N$5)</f>
        <v/>
      </c>
      <c r="I1228">
        <f>IF(C1228="","",AVERAGE(C1213:C1228)*$N$5)</f>
        <v/>
      </c>
      <c r="J1228">
        <f>IF(C1228="","",J1227+$N$6*(C1228*$N$5-J1227))</f>
        <v/>
      </c>
      <c r="K1228">
        <f>IF(B1228="","",B1228-B1227)</f>
        <v/>
      </c>
    </row>
    <row r="1229">
      <c r="G1229">
        <f>IF(C1229="","",C1229*$N$5)</f>
        <v/>
      </c>
      <c r="H1229">
        <f>IF(C1229="","",AVERAGE(C1226:C1229)*$N$5)</f>
        <v/>
      </c>
      <c r="I1229">
        <f>IF(C1229="","",AVERAGE(C1214:C1229)*$N$5)</f>
        <v/>
      </c>
      <c r="J1229">
        <f>IF(C1229="","",J1228+$N$6*(C1229*$N$5-J1228))</f>
        <v/>
      </c>
      <c r="K1229">
        <f>IF(B1229="","",B1229-B1228)</f>
        <v/>
      </c>
    </row>
    <row r="1230">
      <c r="G1230">
        <f>IF(C1230="","",C1230*$N$5)</f>
        <v/>
      </c>
      <c r="H1230">
        <f>IF(C1230="","",AVERAGE(C1227:C1230)*$N$5)</f>
        <v/>
      </c>
      <c r="I1230">
        <f>IF(C1230="","",AVERAGE(C1215:C1230)*$N$5)</f>
        <v/>
      </c>
      <c r="J1230">
        <f>IF(C1230="","",J1229+$N$6*(C1230*$N$5-J1229))</f>
        <v/>
      </c>
      <c r="K1230">
        <f>IF(B1230="","",B1230-B1229)</f>
        <v/>
      </c>
    </row>
    <row r="1231">
      <c r="G1231">
        <f>IF(C1231="","",C1231*$N$5)</f>
        <v/>
      </c>
      <c r="H1231">
        <f>IF(C1231="","",AVERAGE(C1228:C1231)*$N$5)</f>
        <v/>
      </c>
      <c r="I1231">
        <f>IF(C1231="","",AVERAGE(C1216:C1231)*$N$5)</f>
        <v/>
      </c>
      <c r="J1231">
        <f>IF(C1231="","",J1230+$N$6*(C1231*$N$5-J1230))</f>
        <v/>
      </c>
      <c r="K1231">
        <f>IF(B1231="","",B1231-B1230)</f>
        <v/>
      </c>
    </row>
    <row r="1232">
      <c r="G1232">
        <f>IF(C1232="","",C1232*$N$5)</f>
        <v/>
      </c>
      <c r="H1232">
        <f>IF(C1232="","",AVERAGE(C1229:C1232)*$N$5)</f>
        <v/>
      </c>
      <c r="I1232">
        <f>IF(C1232="","",AVERAGE(C1217:C1232)*$N$5)</f>
        <v/>
      </c>
      <c r="J1232">
        <f>IF(C1232="","",J1231+$N$6*(C1232*$N$5-J1231))</f>
        <v/>
      </c>
      <c r="K1232">
        <f>IF(B1232="","",B1232-B1231)</f>
        <v/>
      </c>
    </row>
    <row r="1233">
      <c r="G1233">
        <f>IF(C1233="","",C1233*$N$5)</f>
        <v/>
      </c>
      <c r="H1233">
        <f>IF(C1233="","",AVERAGE(C1230:C1233)*$N$5)</f>
        <v/>
      </c>
      <c r="I1233">
        <f>IF(C1233="","",AVERAGE(C1218:C1233)*$N$5)</f>
        <v/>
      </c>
      <c r="J1233">
        <f>IF(C1233="","",J1232+$N$6*(C1233*$N$5-J1232))</f>
        <v/>
      </c>
      <c r="K1233">
        <f>IF(B1233="","",B1233-B1232)</f>
        <v/>
      </c>
    </row>
    <row r="1234">
      <c r="G1234">
        <f>IF(C1234="","",C1234*$N$5)</f>
        <v/>
      </c>
      <c r="H1234">
        <f>IF(C1234="","",AVERAGE(C1231:C1234)*$N$5)</f>
        <v/>
      </c>
      <c r="I1234">
        <f>IF(C1234="","",AVERAGE(C1219:C1234)*$N$5)</f>
        <v/>
      </c>
      <c r="J1234">
        <f>IF(C1234="","",J1233+$N$6*(C1234*$N$5-J1233))</f>
        <v/>
      </c>
      <c r="K1234">
        <f>IF(B1234="","",B1234-B1233)</f>
        <v/>
      </c>
    </row>
    <row r="1235">
      <c r="G1235">
        <f>IF(C1235="","",C1235*$N$5)</f>
        <v/>
      </c>
      <c r="H1235">
        <f>IF(C1235="","",AVERAGE(C1232:C1235)*$N$5)</f>
        <v/>
      </c>
      <c r="I1235">
        <f>IF(C1235="","",AVERAGE(C1220:C1235)*$N$5)</f>
        <v/>
      </c>
      <c r="J1235">
        <f>IF(C1235="","",J1234+$N$6*(C1235*$N$5-J1234))</f>
        <v/>
      </c>
      <c r="K1235">
        <f>IF(B1235="","",B1235-B1234)</f>
        <v/>
      </c>
    </row>
    <row r="1236">
      <c r="G1236">
        <f>IF(C1236="","",C1236*$N$5)</f>
        <v/>
      </c>
      <c r="H1236">
        <f>IF(C1236="","",AVERAGE(C1233:C1236)*$N$5)</f>
        <v/>
      </c>
      <c r="I1236">
        <f>IF(C1236="","",AVERAGE(C1221:C1236)*$N$5)</f>
        <v/>
      </c>
      <c r="J1236">
        <f>IF(C1236="","",J1235+$N$6*(C1236*$N$5-J1235))</f>
        <v/>
      </c>
      <c r="K1236">
        <f>IF(B1236="","",B1236-B1235)</f>
        <v/>
      </c>
    </row>
    <row r="1237">
      <c r="G1237">
        <f>IF(C1237="","",C1237*$N$5)</f>
        <v/>
      </c>
      <c r="H1237">
        <f>IF(C1237="","",AVERAGE(C1234:C1237)*$N$5)</f>
        <v/>
      </c>
      <c r="I1237">
        <f>IF(C1237="","",AVERAGE(C1222:C1237)*$N$5)</f>
        <v/>
      </c>
      <c r="J1237">
        <f>IF(C1237="","",J1236+$N$6*(C1237*$N$5-J1236))</f>
        <v/>
      </c>
      <c r="K1237">
        <f>IF(B1237="","",B1237-B1236)</f>
        <v/>
      </c>
    </row>
    <row r="1238">
      <c r="G1238">
        <f>IF(C1238="","",C1238*$N$5)</f>
        <v/>
      </c>
      <c r="H1238">
        <f>IF(C1238="","",AVERAGE(C1235:C1238)*$N$5)</f>
        <v/>
      </c>
      <c r="I1238">
        <f>IF(C1238="","",AVERAGE(C1223:C1238)*$N$5)</f>
        <v/>
      </c>
      <c r="J1238">
        <f>IF(C1238="","",J1237+$N$6*(C1238*$N$5-J1237))</f>
        <v/>
      </c>
      <c r="K1238">
        <f>IF(B1238="","",B1238-B1237)</f>
        <v/>
      </c>
    </row>
    <row r="1239">
      <c r="G1239">
        <f>IF(C1239="","",C1239*$N$5)</f>
        <v/>
      </c>
      <c r="H1239">
        <f>IF(C1239="","",AVERAGE(C1236:C1239)*$N$5)</f>
        <v/>
      </c>
      <c r="I1239">
        <f>IF(C1239="","",AVERAGE(C1224:C1239)*$N$5)</f>
        <v/>
      </c>
      <c r="J1239">
        <f>IF(C1239="","",J1238+$N$6*(C1239*$N$5-J1238))</f>
        <v/>
      </c>
      <c r="K1239">
        <f>IF(B1239="","",B1239-B1238)</f>
        <v/>
      </c>
    </row>
    <row r="1240">
      <c r="G1240">
        <f>IF(C1240="","",C1240*$N$5)</f>
        <v/>
      </c>
      <c r="H1240">
        <f>IF(C1240="","",AVERAGE(C1237:C1240)*$N$5)</f>
        <v/>
      </c>
      <c r="I1240">
        <f>IF(C1240="","",AVERAGE(C1225:C1240)*$N$5)</f>
        <v/>
      </c>
      <c r="J1240">
        <f>IF(C1240="","",J1239+$N$6*(C1240*$N$5-J1239))</f>
        <v/>
      </c>
      <c r="K1240">
        <f>IF(B1240="","",B1240-B1239)</f>
        <v/>
      </c>
    </row>
    <row r="1241">
      <c r="G1241">
        <f>IF(C1241="","",C1241*$N$5)</f>
        <v/>
      </c>
      <c r="H1241">
        <f>IF(C1241="","",AVERAGE(C1238:C1241)*$N$5)</f>
        <v/>
      </c>
      <c r="I1241">
        <f>IF(C1241="","",AVERAGE(C1226:C1241)*$N$5)</f>
        <v/>
      </c>
      <c r="J1241">
        <f>IF(C1241="","",J1240+$N$6*(C1241*$N$5-J1240))</f>
        <v/>
      </c>
      <c r="K1241">
        <f>IF(B1241="","",B1241-B1240)</f>
        <v/>
      </c>
    </row>
    <row r="1242">
      <c r="G1242">
        <f>IF(C1242="","",C1242*$N$5)</f>
        <v/>
      </c>
      <c r="H1242">
        <f>IF(C1242="","",AVERAGE(C1239:C1242)*$N$5)</f>
        <v/>
      </c>
      <c r="I1242">
        <f>IF(C1242="","",AVERAGE(C1227:C1242)*$N$5)</f>
        <v/>
      </c>
      <c r="J1242">
        <f>IF(C1242="","",J1241+$N$6*(C1242*$N$5-J1241))</f>
        <v/>
      </c>
      <c r="K1242">
        <f>IF(B1242="","",B1242-B1241)</f>
        <v/>
      </c>
    </row>
    <row r="1243">
      <c r="G1243">
        <f>IF(C1243="","",C1243*$N$5)</f>
        <v/>
      </c>
      <c r="H1243">
        <f>IF(C1243="","",AVERAGE(C1240:C1243)*$N$5)</f>
        <v/>
      </c>
      <c r="I1243">
        <f>IF(C1243="","",AVERAGE(C1228:C1243)*$N$5)</f>
        <v/>
      </c>
      <c r="J1243">
        <f>IF(C1243="","",J1242+$N$6*(C1243*$N$5-J1242))</f>
        <v/>
      </c>
      <c r="K1243">
        <f>IF(B1243="","",B1243-B1242)</f>
        <v/>
      </c>
    </row>
    <row r="1244">
      <c r="G1244">
        <f>IF(C1244="","",C1244*$N$5)</f>
        <v/>
      </c>
      <c r="H1244">
        <f>IF(C1244="","",AVERAGE(C1241:C1244)*$N$5)</f>
        <v/>
      </c>
      <c r="I1244">
        <f>IF(C1244="","",AVERAGE(C1229:C1244)*$N$5)</f>
        <v/>
      </c>
      <c r="J1244">
        <f>IF(C1244="","",J1243+$N$6*(C1244*$N$5-J1243))</f>
        <v/>
      </c>
      <c r="K1244">
        <f>IF(B1244="","",B1244-B1243)</f>
        <v/>
      </c>
    </row>
    <row r="1245">
      <c r="G1245">
        <f>IF(C1245="","",C1245*$N$5)</f>
        <v/>
      </c>
      <c r="H1245">
        <f>IF(C1245="","",AVERAGE(C1242:C1245)*$N$5)</f>
        <v/>
      </c>
      <c r="I1245">
        <f>IF(C1245="","",AVERAGE(C1230:C1245)*$N$5)</f>
        <v/>
      </c>
      <c r="J1245">
        <f>IF(C1245="","",J1244+$N$6*(C1245*$N$5-J1244))</f>
        <v/>
      </c>
      <c r="K1245">
        <f>IF(B1245="","",B1245-B1244)</f>
        <v/>
      </c>
    </row>
    <row r="1246">
      <c r="G1246">
        <f>IF(C1246="","",C1246*$N$5)</f>
        <v/>
      </c>
      <c r="H1246">
        <f>IF(C1246="","",AVERAGE(C1243:C1246)*$N$5)</f>
        <v/>
      </c>
      <c r="I1246">
        <f>IF(C1246="","",AVERAGE(C1231:C1246)*$N$5)</f>
        <v/>
      </c>
      <c r="J1246">
        <f>IF(C1246="","",J1245+$N$6*(C1246*$N$5-J1245))</f>
        <v/>
      </c>
      <c r="K1246">
        <f>IF(B1246="","",B1246-B1245)</f>
        <v/>
      </c>
    </row>
    <row r="1247">
      <c r="G1247">
        <f>IF(C1247="","",C1247*$N$5)</f>
        <v/>
      </c>
      <c r="H1247">
        <f>IF(C1247="","",AVERAGE(C1244:C1247)*$N$5)</f>
        <v/>
      </c>
      <c r="I1247">
        <f>IF(C1247="","",AVERAGE(C1232:C1247)*$N$5)</f>
        <v/>
      </c>
      <c r="J1247">
        <f>IF(C1247="","",J1246+$N$6*(C1247*$N$5-J1246))</f>
        <v/>
      </c>
      <c r="K1247">
        <f>IF(B1247="","",B1247-B1246)</f>
        <v/>
      </c>
    </row>
    <row r="1248">
      <c r="G1248">
        <f>IF(C1248="","",C1248*$N$5)</f>
        <v/>
      </c>
      <c r="H1248">
        <f>IF(C1248="","",AVERAGE(C1245:C1248)*$N$5)</f>
        <v/>
      </c>
      <c r="I1248">
        <f>IF(C1248="","",AVERAGE(C1233:C1248)*$N$5)</f>
        <v/>
      </c>
      <c r="J1248">
        <f>IF(C1248="","",J1247+$N$6*(C1248*$N$5-J1247))</f>
        <v/>
      </c>
      <c r="K1248">
        <f>IF(B1248="","",B1248-B1247)</f>
        <v/>
      </c>
    </row>
    <row r="1249">
      <c r="G1249">
        <f>IF(C1249="","",C1249*$N$5)</f>
        <v/>
      </c>
      <c r="H1249">
        <f>IF(C1249="","",AVERAGE(C1246:C1249)*$N$5)</f>
        <v/>
      </c>
      <c r="I1249">
        <f>IF(C1249="","",AVERAGE(C1234:C1249)*$N$5)</f>
        <v/>
      </c>
      <c r="J1249">
        <f>IF(C1249="","",J1248+$N$6*(C1249*$N$5-J1248))</f>
        <v/>
      </c>
      <c r="K1249">
        <f>IF(B1249="","",B1249-B1248)</f>
        <v/>
      </c>
    </row>
    <row r="1250">
      <c r="G1250">
        <f>IF(C1250="","",C1250*$N$5)</f>
        <v/>
      </c>
      <c r="H1250">
        <f>IF(C1250="","",AVERAGE(C1247:C1250)*$N$5)</f>
        <v/>
      </c>
      <c r="I1250">
        <f>IF(C1250="","",AVERAGE(C1235:C1250)*$N$5)</f>
        <v/>
      </c>
      <c r="J1250">
        <f>IF(C1250="","",J1249+$N$6*(C1250*$N$5-J1249))</f>
        <v/>
      </c>
      <c r="K1250">
        <f>IF(B1250="","",B1250-B1249)</f>
        <v/>
      </c>
    </row>
    <row r="1251">
      <c r="G1251">
        <f>IF(C1251="","",C1251*$N$5)</f>
        <v/>
      </c>
      <c r="H1251">
        <f>IF(C1251="","",AVERAGE(C1248:C1251)*$N$5)</f>
        <v/>
      </c>
      <c r="I1251">
        <f>IF(C1251="","",AVERAGE(C1236:C1251)*$N$5)</f>
        <v/>
      </c>
      <c r="J1251">
        <f>IF(C1251="","",J1250+$N$6*(C1251*$N$5-J1250))</f>
        <v/>
      </c>
      <c r="K1251">
        <f>IF(B1251="","",B1251-B1250)</f>
        <v/>
      </c>
    </row>
    <row r="1252">
      <c r="G1252">
        <f>IF(C1252="","",C1252*$N$5)</f>
        <v/>
      </c>
      <c r="H1252">
        <f>IF(C1252="","",AVERAGE(C1249:C1252)*$N$5)</f>
        <v/>
      </c>
      <c r="I1252">
        <f>IF(C1252="","",AVERAGE(C1237:C1252)*$N$5)</f>
        <v/>
      </c>
      <c r="J1252">
        <f>IF(C1252="","",J1251+$N$6*(C1252*$N$5-J1251))</f>
        <v/>
      </c>
      <c r="K1252">
        <f>IF(B1252="","",B1252-B1251)</f>
        <v/>
      </c>
    </row>
    <row r="1253">
      <c r="G1253">
        <f>IF(C1253="","",C1253*$N$5)</f>
        <v/>
      </c>
      <c r="H1253">
        <f>IF(C1253="","",AVERAGE(C1250:C1253)*$N$5)</f>
        <v/>
      </c>
      <c r="I1253">
        <f>IF(C1253="","",AVERAGE(C1238:C1253)*$N$5)</f>
        <v/>
      </c>
      <c r="J1253">
        <f>IF(C1253="","",J1252+$N$6*(C1253*$N$5-J1252))</f>
        <v/>
      </c>
      <c r="K1253">
        <f>IF(B1253="","",B1253-B1252)</f>
        <v/>
      </c>
    </row>
    <row r="1254">
      <c r="G1254">
        <f>IF(C1254="","",C1254*$N$5)</f>
        <v/>
      </c>
      <c r="H1254">
        <f>IF(C1254="","",AVERAGE(C1251:C1254)*$N$5)</f>
        <v/>
      </c>
      <c r="I1254">
        <f>IF(C1254="","",AVERAGE(C1239:C1254)*$N$5)</f>
        <v/>
      </c>
      <c r="J1254">
        <f>IF(C1254="","",J1253+$N$6*(C1254*$N$5-J1253))</f>
        <v/>
      </c>
      <c r="K1254">
        <f>IF(B1254="","",B1254-B1253)</f>
        <v/>
      </c>
    </row>
    <row r="1255">
      <c r="G1255">
        <f>IF(C1255="","",C1255*$N$5)</f>
        <v/>
      </c>
      <c r="H1255">
        <f>IF(C1255="","",AVERAGE(C1252:C1255)*$N$5)</f>
        <v/>
      </c>
      <c r="I1255">
        <f>IF(C1255="","",AVERAGE(C1240:C1255)*$N$5)</f>
        <v/>
      </c>
      <c r="J1255">
        <f>IF(C1255="","",J1254+$N$6*(C1255*$N$5-J1254))</f>
        <v/>
      </c>
      <c r="K1255">
        <f>IF(B1255="","",B1255-B1254)</f>
        <v/>
      </c>
    </row>
    <row r="1256">
      <c r="G1256">
        <f>IF(C1256="","",C1256*$N$5)</f>
        <v/>
      </c>
      <c r="H1256">
        <f>IF(C1256="","",AVERAGE(C1253:C1256)*$N$5)</f>
        <v/>
      </c>
      <c r="I1256">
        <f>IF(C1256="","",AVERAGE(C1241:C1256)*$N$5)</f>
        <v/>
      </c>
      <c r="J1256">
        <f>IF(C1256="","",J1255+$N$6*(C1256*$N$5-J1255))</f>
        <v/>
      </c>
      <c r="K1256">
        <f>IF(B1256="","",B1256-B1255)</f>
        <v/>
      </c>
    </row>
    <row r="1257">
      <c r="G1257">
        <f>IF(C1257="","",C1257*$N$5)</f>
        <v/>
      </c>
      <c r="H1257">
        <f>IF(C1257="","",AVERAGE(C1254:C1257)*$N$5)</f>
        <v/>
      </c>
      <c r="I1257">
        <f>IF(C1257="","",AVERAGE(C1242:C1257)*$N$5)</f>
        <v/>
      </c>
      <c r="J1257">
        <f>IF(C1257="","",J1256+$N$6*(C1257*$N$5-J1256))</f>
        <v/>
      </c>
      <c r="K1257">
        <f>IF(B1257="","",B1257-B1256)</f>
        <v/>
      </c>
    </row>
    <row r="1258">
      <c r="G1258">
        <f>IF(C1258="","",C1258*$N$5)</f>
        <v/>
      </c>
      <c r="H1258">
        <f>IF(C1258="","",AVERAGE(C1255:C1258)*$N$5)</f>
        <v/>
      </c>
      <c r="I1258">
        <f>IF(C1258="","",AVERAGE(C1243:C1258)*$N$5)</f>
        <v/>
      </c>
      <c r="J1258">
        <f>IF(C1258="","",J1257+$N$6*(C1258*$N$5-J1257))</f>
        <v/>
      </c>
      <c r="K1258">
        <f>IF(B1258="","",B1258-B1257)</f>
        <v/>
      </c>
    </row>
    <row r="1259">
      <c r="G1259">
        <f>IF(C1259="","",C1259*$N$5)</f>
        <v/>
      </c>
      <c r="H1259">
        <f>IF(C1259="","",AVERAGE(C1256:C1259)*$N$5)</f>
        <v/>
      </c>
      <c r="I1259">
        <f>IF(C1259="","",AVERAGE(C1244:C1259)*$N$5)</f>
        <v/>
      </c>
      <c r="J1259">
        <f>IF(C1259="","",J1258+$N$6*(C1259*$N$5-J1258))</f>
        <v/>
      </c>
      <c r="K1259">
        <f>IF(B1259="","",B1259-B1258)</f>
        <v/>
      </c>
    </row>
    <row r="1260">
      <c r="G1260">
        <f>IF(C1260="","",C1260*$N$5)</f>
        <v/>
      </c>
      <c r="H1260">
        <f>IF(C1260="","",AVERAGE(C1257:C1260)*$N$5)</f>
        <v/>
      </c>
      <c r="I1260">
        <f>IF(C1260="","",AVERAGE(C1245:C1260)*$N$5)</f>
        <v/>
      </c>
      <c r="J1260">
        <f>IF(C1260="","",J1259+$N$6*(C1260*$N$5-J1259))</f>
        <v/>
      </c>
      <c r="K1260">
        <f>IF(B1260="","",B1260-B1259)</f>
        <v/>
      </c>
    </row>
    <row r="1261">
      <c r="G1261">
        <f>IF(C1261="","",C1261*$N$5)</f>
        <v/>
      </c>
      <c r="H1261">
        <f>IF(C1261="","",AVERAGE(C1258:C1261)*$N$5)</f>
        <v/>
      </c>
      <c r="I1261">
        <f>IF(C1261="","",AVERAGE(C1246:C1261)*$N$5)</f>
        <v/>
      </c>
      <c r="J1261">
        <f>IF(C1261="","",J1260+$N$6*(C1261*$N$5-J1260))</f>
        <v/>
      </c>
      <c r="K1261">
        <f>IF(B1261="","",B1261-B1260)</f>
        <v/>
      </c>
    </row>
    <row r="1262">
      <c r="G1262">
        <f>IF(C1262="","",C1262*$N$5)</f>
        <v/>
      </c>
      <c r="H1262">
        <f>IF(C1262="","",AVERAGE(C1259:C1262)*$N$5)</f>
        <v/>
      </c>
      <c r="I1262">
        <f>IF(C1262="","",AVERAGE(C1247:C1262)*$N$5)</f>
        <v/>
      </c>
      <c r="J1262">
        <f>IF(C1262="","",J1261+$N$6*(C1262*$N$5-J1261))</f>
        <v/>
      </c>
      <c r="K1262">
        <f>IF(B1262="","",B1262-B1261)</f>
        <v/>
      </c>
    </row>
    <row r="1263">
      <c r="G1263">
        <f>IF(C1263="","",C1263*$N$5)</f>
        <v/>
      </c>
      <c r="H1263">
        <f>IF(C1263="","",AVERAGE(C1260:C1263)*$N$5)</f>
        <v/>
      </c>
      <c r="I1263">
        <f>IF(C1263="","",AVERAGE(C1248:C1263)*$N$5)</f>
        <v/>
      </c>
      <c r="J1263">
        <f>IF(C1263="","",J1262+$N$6*(C1263*$N$5-J1262))</f>
        <v/>
      </c>
      <c r="K1263">
        <f>IF(B1263="","",B1263-B1262)</f>
        <v/>
      </c>
    </row>
    <row r="1264">
      <c r="G1264">
        <f>IF(C1264="","",C1264*$N$5)</f>
        <v/>
      </c>
      <c r="H1264">
        <f>IF(C1264="","",AVERAGE(C1261:C1264)*$N$5)</f>
        <v/>
      </c>
      <c r="I1264">
        <f>IF(C1264="","",AVERAGE(C1249:C1264)*$N$5)</f>
        <v/>
      </c>
      <c r="J1264">
        <f>IF(C1264="","",J1263+$N$6*(C1264*$N$5-J1263))</f>
        <v/>
      </c>
      <c r="K1264">
        <f>IF(B1264="","",B1264-B1263)</f>
        <v/>
      </c>
    </row>
    <row r="1265">
      <c r="G1265">
        <f>IF(C1265="","",C1265*$N$5)</f>
        <v/>
      </c>
      <c r="H1265">
        <f>IF(C1265="","",AVERAGE(C1262:C1265)*$N$5)</f>
        <v/>
      </c>
      <c r="I1265">
        <f>IF(C1265="","",AVERAGE(C1250:C1265)*$N$5)</f>
        <v/>
      </c>
      <c r="J1265">
        <f>IF(C1265="","",J1264+$N$6*(C1265*$N$5-J1264))</f>
        <v/>
      </c>
      <c r="K1265">
        <f>IF(B1265="","",B1265-B1264)</f>
        <v/>
      </c>
    </row>
    <row r="1266">
      <c r="G1266">
        <f>IF(C1266="","",C1266*$N$5)</f>
        <v/>
      </c>
      <c r="H1266">
        <f>IF(C1266="","",AVERAGE(C1263:C1266)*$N$5)</f>
        <v/>
      </c>
      <c r="I1266">
        <f>IF(C1266="","",AVERAGE(C1251:C1266)*$N$5)</f>
        <v/>
      </c>
      <c r="J1266">
        <f>IF(C1266="","",J1265+$N$6*(C1266*$N$5-J1265))</f>
        <v/>
      </c>
      <c r="K1266">
        <f>IF(B1266="","",B1266-B1265)</f>
        <v/>
      </c>
    </row>
    <row r="1267">
      <c r="G1267">
        <f>IF(C1267="","",C1267*$N$5)</f>
        <v/>
      </c>
      <c r="H1267">
        <f>IF(C1267="","",AVERAGE(C1264:C1267)*$N$5)</f>
        <v/>
      </c>
      <c r="I1267">
        <f>IF(C1267="","",AVERAGE(C1252:C1267)*$N$5)</f>
        <v/>
      </c>
      <c r="J1267">
        <f>IF(C1267="","",J1266+$N$6*(C1267*$N$5-J1266))</f>
        <v/>
      </c>
      <c r="K1267">
        <f>IF(B1267="","",B1267-B1266)</f>
        <v/>
      </c>
    </row>
    <row r="1268">
      <c r="G1268">
        <f>IF(C1268="","",C1268*$N$5)</f>
        <v/>
      </c>
      <c r="H1268">
        <f>IF(C1268="","",AVERAGE(C1265:C1268)*$N$5)</f>
        <v/>
      </c>
      <c r="I1268">
        <f>IF(C1268="","",AVERAGE(C1253:C1268)*$N$5)</f>
        <v/>
      </c>
      <c r="J1268">
        <f>IF(C1268="","",J1267+$N$6*(C1268*$N$5-J1267))</f>
        <v/>
      </c>
      <c r="K1268">
        <f>IF(B1268="","",B1268-B1267)</f>
        <v/>
      </c>
    </row>
    <row r="1269">
      <c r="G1269">
        <f>IF(C1269="","",C1269*$N$5)</f>
        <v/>
      </c>
      <c r="H1269">
        <f>IF(C1269="","",AVERAGE(C1266:C1269)*$N$5)</f>
        <v/>
      </c>
      <c r="I1269">
        <f>IF(C1269="","",AVERAGE(C1254:C1269)*$N$5)</f>
        <v/>
      </c>
      <c r="J1269">
        <f>IF(C1269="","",J1268+$N$6*(C1269*$N$5-J1268))</f>
        <v/>
      </c>
      <c r="K1269">
        <f>IF(B1269="","",B1269-B1268)</f>
        <v/>
      </c>
    </row>
    <row r="1270">
      <c r="G1270">
        <f>IF(C1270="","",C1270*$N$5)</f>
        <v/>
      </c>
      <c r="H1270">
        <f>IF(C1270="","",AVERAGE(C1267:C1270)*$N$5)</f>
        <v/>
      </c>
      <c r="I1270">
        <f>IF(C1270="","",AVERAGE(C1255:C1270)*$N$5)</f>
        <v/>
      </c>
      <c r="J1270">
        <f>IF(C1270="","",J1269+$N$6*(C1270*$N$5-J1269))</f>
        <v/>
      </c>
      <c r="K1270">
        <f>IF(B1270="","",B1270-B1269)</f>
        <v/>
      </c>
    </row>
    <row r="1271">
      <c r="G1271">
        <f>IF(C1271="","",C1271*$N$5)</f>
        <v/>
      </c>
      <c r="H1271">
        <f>IF(C1271="","",AVERAGE(C1268:C1271)*$N$5)</f>
        <v/>
      </c>
      <c r="I1271">
        <f>IF(C1271="","",AVERAGE(C1256:C1271)*$N$5)</f>
        <v/>
      </c>
      <c r="J1271">
        <f>IF(C1271="","",J1270+$N$6*(C1271*$N$5-J1270))</f>
        <v/>
      </c>
      <c r="K1271">
        <f>IF(B1271="","",B1271-B1270)</f>
        <v/>
      </c>
    </row>
    <row r="1272">
      <c r="G1272">
        <f>IF(C1272="","",C1272*$N$5)</f>
        <v/>
      </c>
      <c r="H1272">
        <f>IF(C1272="","",AVERAGE(C1269:C1272)*$N$5)</f>
        <v/>
      </c>
      <c r="I1272">
        <f>IF(C1272="","",AVERAGE(C1257:C1272)*$N$5)</f>
        <v/>
      </c>
      <c r="J1272">
        <f>IF(C1272="","",J1271+$N$6*(C1272*$N$5-J1271))</f>
        <v/>
      </c>
      <c r="K1272">
        <f>IF(B1272="","",B1272-B1271)</f>
        <v/>
      </c>
    </row>
    <row r="1273">
      <c r="G1273">
        <f>IF(C1273="","",C1273*$N$5)</f>
        <v/>
      </c>
      <c r="H1273">
        <f>IF(C1273="","",AVERAGE(C1270:C1273)*$N$5)</f>
        <v/>
      </c>
      <c r="I1273">
        <f>IF(C1273="","",AVERAGE(C1258:C1273)*$N$5)</f>
        <v/>
      </c>
      <c r="J1273">
        <f>IF(C1273="","",J1272+$N$6*(C1273*$N$5-J1272))</f>
        <v/>
      </c>
      <c r="K1273">
        <f>IF(B1273="","",B1273-B1272)</f>
        <v/>
      </c>
    </row>
    <row r="1274">
      <c r="G1274">
        <f>IF(C1274="","",C1274*$N$5)</f>
        <v/>
      </c>
      <c r="H1274">
        <f>IF(C1274="","",AVERAGE(C1271:C1274)*$N$5)</f>
        <v/>
      </c>
      <c r="I1274">
        <f>IF(C1274="","",AVERAGE(C1259:C1274)*$N$5)</f>
        <v/>
      </c>
      <c r="J1274">
        <f>IF(C1274="","",J1273+$N$6*(C1274*$N$5-J1273))</f>
        <v/>
      </c>
      <c r="K1274">
        <f>IF(B1274="","",B1274-B1273)</f>
        <v/>
      </c>
    </row>
    <row r="1275">
      <c r="G1275">
        <f>IF(C1275="","",C1275*$N$5)</f>
        <v/>
      </c>
      <c r="H1275">
        <f>IF(C1275="","",AVERAGE(C1272:C1275)*$N$5)</f>
        <v/>
      </c>
      <c r="I1275">
        <f>IF(C1275="","",AVERAGE(C1260:C1275)*$N$5)</f>
        <v/>
      </c>
      <c r="J1275">
        <f>IF(C1275="","",J1274+$N$6*(C1275*$N$5-J1274))</f>
        <v/>
      </c>
      <c r="K1275">
        <f>IF(B1275="","",B1275-B1274)</f>
        <v/>
      </c>
    </row>
    <row r="1276">
      <c r="G1276">
        <f>IF(C1276="","",C1276*$N$5)</f>
        <v/>
      </c>
      <c r="H1276">
        <f>IF(C1276="","",AVERAGE(C1273:C1276)*$N$5)</f>
        <v/>
      </c>
      <c r="I1276">
        <f>IF(C1276="","",AVERAGE(C1261:C1276)*$N$5)</f>
        <v/>
      </c>
      <c r="J1276">
        <f>IF(C1276="","",J1275+$N$6*(C1276*$N$5-J1275))</f>
        <v/>
      </c>
      <c r="K1276">
        <f>IF(B1276="","",B1276-B1275)</f>
        <v/>
      </c>
    </row>
    <row r="1277">
      <c r="G1277">
        <f>IF(C1277="","",C1277*$N$5)</f>
        <v/>
      </c>
      <c r="H1277">
        <f>IF(C1277="","",AVERAGE(C1274:C1277)*$N$5)</f>
        <v/>
      </c>
      <c r="I1277">
        <f>IF(C1277="","",AVERAGE(C1262:C1277)*$N$5)</f>
        <v/>
      </c>
      <c r="J1277">
        <f>IF(C1277="","",J1276+$N$6*(C1277*$N$5-J1276))</f>
        <v/>
      </c>
      <c r="K1277">
        <f>IF(B1277="","",B1277-B1276)</f>
        <v/>
      </c>
    </row>
    <row r="1278">
      <c r="G1278">
        <f>IF(C1278="","",C1278*$N$5)</f>
        <v/>
      </c>
      <c r="H1278">
        <f>IF(C1278="","",AVERAGE(C1275:C1278)*$N$5)</f>
        <v/>
      </c>
      <c r="I1278">
        <f>IF(C1278="","",AVERAGE(C1263:C1278)*$N$5)</f>
        <v/>
      </c>
      <c r="J1278">
        <f>IF(C1278="","",J1277+$N$6*(C1278*$N$5-J1277))</f>
        <v/>
      </c>
      <c r="K1278">
        <f>IF(B1278="","",B1278-B1277)</f>
        <v/>
      </c>
    </row>
    <row r="1279">
      <c r="G1279">
        <f>IF(C1279="","",C1279*$N$5)</f>
        <v/>
      </c>
      <c r="H1279">
        <f>IF(C1279="","",AVERAGE(C1276:C1279)*$N$5)</f>
        <v/>
      </c>
      <c r="I1279">
        <f>IF(C1279="","",AVERAGE(C1264:C1279)*$N$5)</f>
        <v/>
      </c>
      <c r="J1279">
        <f>IF(C1279="","",J1278+$N$6*(C1279*$N$5-J1278))</f>
        <v/>
      </c>
      <c r="K1279">
        <f>IF(B1279="","",B1279-B1278)</f>
        <v/>
      </c>
    </row>
    <row r="1280">
      <c r="G1280">
        <f>IF(C1280="","",C1280*$N$5)</f>
        <v/>
      </c>
      <c r="H1280">
        <f>IF(C1280="","",AVERAGE(C1277:C1280)*$N$5)</f>
        <v/>
      </c>
      <c r="I1280">
        <f>IF(C1280="","",AVERAGE(C1265:C1280)*$N$5)</f>
        <v/>
      </c>
      <c r="J1280">
        <f>IF(C1280="","",J1279+$N$6*(C1280*$N$5-J1279))</f>
        <v/>
      </c>
      <c r="K1280">
        <f>IF(B1280="","",B1280-B1279)</f>
        <v/>
      </c>
    </row>
    <row r="1281">
      <c r="G1281">
        <f>IF(C1281="","",C1281*$N$5)</f>
        <v/>
      </c>
      <c r="H1281">
        <f>IF(C1281="","",AVERAGE(C1278:C1281)*$N$5)</f>
        <v/>
      </c>
      <c r="I1281">
        <f>IF(C1281="","",AVERAGE(C1266:C1281)*$N$5)</f>
        <v/>
      </c>
      <c r="J1281">
        <f>IF(C1281="","",J1280+$N$6*(C1281*$N$5-J1280))</f>
        <v/>
      </c>
      <c r="K1281">
        <f>IF(B1281="","",B1281-B1280)</f>
        <v/>
      </c>
    </row>
    <row r="1282">
      <c r="G1282">
        <f>IF(C1282="","",C1282*$N$5)</f>
        <v/>
      </c>
      <c r="H1282">
        <f>IF(C1282="","",AVERAGE(C1279:C1282)*$N$5)</f>
        <v/>
      </c>
      <c r="I1282">
        <f>IF(C1282="","",AVERAGE(C1267:C1282)*$N$5)</f>
        <v/>
      </c>
      <c r="J1282">
        <f>IF(C1282="","",J1281+$N$6*(C1282*$N$5-J1281))</f>
        <v/>
      </c>
      <c r="K1282">
        <f>IF(B1282="","",B1282-B1281)</f>
        <v/>
      </c>
    </row>
    <row r="1283">
      <c r="G1283">
        <f>IF(C1283="","",C1283*$N$5)</f>
        <v/>
      </c>
      <c r="H1283">
        <f>IF(C1283="","",AVERAGE(C1280:C1283)*$N$5)</f>
        <v/>
      </c>
      <c r="I1283">
        <f>IF(C1283="","",AVERAGE(C1268:C1283)*$N$5)</f>
        <v/>
      </c>
      <c r="J1283">
        <f>IF(C1283="","",J1282+$N$6*(C1283*$N$5-J1282))</f>
        <v/>
      </c>
      <c r="K1283">
        <f>IF(B1283="","",B1283-B1282)</f>
        <v/>
      </c>
    </row>
    <row r="1284">
      <c r="G1284">
        <f>IF(C1284="","",C1284*$N$5)</f>
        <v/>
      </c>
      <c r="H1284">
        <f>IF(C1284="","",AVERAGE(C1281:C1284)*$N$5)</f>
        <v/>
      </c>
      <c r="I1284">
        <f>IF(C1284="","",AVERAGE(C1269:C1284)*$N$5)</f>
        <v/>
      </c>
      <c r="J1284">
        <f>IF(C1284="","",J1283+$N$6*(C1284*$N$5-J1283))</f>
        <v/>
      </c>
      <c r="K1284">
        <f>IF(B1284="","",B1284-B1283)</f>
        <v/>
      </c>
    </row>
    <row r="1285">
      <c r="G1285">
        <f>IF(C1285="","",C1285*$N$5)</f>
        <v/>
      </c>
      <c r="H1285">
        <f>IF(C1285="","",AVERAGE(C1282:C1285)*$N$5)</f>
        <v/>
      </c>
      <c r="I1285">
        <f>IF(C1285="","",AVERAGE(C1270:C1285)*$N$5)</f>
        <v/>
      </c>
      <c r="J1285">
        <f>IF(C1285="","",J1284+$N$6*(C1285*$N$5-J1284))</f>
        <v/>
      </c>
      <c r="K1285">
        <f>IF(B1285="","",B1285-B1284)</f>
        <v/>
      </c>
    </row>
    <row r="1286">
      <c r="G1286">
        <f>IF(C1286="","",C1286*$N$5)</f>
        <v/>
      </c>
      <c r="H1286">
        <f>IF(C1286="","",AVERAGE(C1283:C1286)*$N$5)</f>
        <v/>
      </c>
      <c r="I1286">
        <f>IF(C1286="","",AVERAGE(C1271:C1286)*$N$5)</f>
        <v/>
      </c>
      <c r="J1286">
        <f>IF(C1286="","",J1285+$N$6*(C1286*$N$5-J1285))</f>
        <v/>
      </c>
      <c r="K1286">
        <f>IF(B1286="","",B1286-B1285)</f>
        <v/>
      </c>
    </row>
    <row r="1287">
      <c r="G1287">
        <f>IF(C1287="","",C1287*$N$5)</f>
        <v/>
      </c>
      <c r="H1287">
        <f>IF(C1287="","",AVERAGE(C1284:C1287)*$N$5)</f>
        <v/>
      </c>
      <c r="I1287">
        <f>IF(C1287="","",AVERAGE(C1272:C1287)*$N$5)</f>
        <v/>
      </c>
      <c r="J1287">
        <f>IF(C1287="","",J1286+$N$6*(C1287*$N$5-J1286))</f>
        <v/>
      </c>
      <c r="K1287">
        <f>IF(B1287="","",B1287-B1286)</f>
        <v/>
      </c>
    </row>
    <row r="1288">
      <c r="G1288">
        <f>IF(C1288="","",C1288*$N$5)</f>
        <v/>
      </c>
      <c r="H1288">
        <f>IF(C1288="","",AVERAGE(C1285:C1288)*$N$5)</f>
        <v/>
      </c>
      <c r="I1288">
        <f>IF(C1288="","",AVERAGE(C1273:C1288)*$N$5)</f>
        <v/>
      </c>
      <c r="J1288">
        <f>IF(C1288="","",J1287+$N$6*(C1288*$N$5-J1287))</f>
        <v/>
      </c>
      <c r="K1288">
        <f>IF(B1288="","",B1288-B1287)</f>
        <v/>
      </c>
    </row>
    <row r="1289">
      <c r="G1289">
        <f>IF(C1289="","",C1289*$N$5)</f>
        <v/>
      </c>
      <c r="H1289">
        <f>IF(C1289="","",AVERAGE(C1286:C1289)*$N$5)</f>
        <v/>
      </c>
      <c r="I1289">
        <f>IF(C1289="","",AVERAGE(C1274:C1289)*$N$5)</f>
        <v/>
      </c>
      <c r="J1289">
        <f>IF(C1289="","",J1288+$N$6*(C1289*$N$5-J1288))</f>
        <v/>
      </c>
      <c r="K1289">
        <f>IF(B1289="","",B1289-B1288)</f>
        <v/>
      </c>
    </row>
    <row r="1290">
      <c r="G1290">
        <f>IF(C1290="","",C1290*$N$5)</f>
        <v/>
      </c>
      <c r="H1290">
        <f>IF(C1290="","",AVERAGE(C1287:C1290)*$N$5)</f>
        <v/>
      </c>
      <c r="I1290">
        <f>IF(C1290="","",AVERAGE(C1275:C1290)*$N$5)</f>
        <v/>
      </c>
      <c r="J1290">
        <f>IF(C1290="","",J1289+$N$6*(C1290*$N$5-J1289))</f>
        <v/>
      </c>
      <c r="K1290">
        <f>IF(B1290="","",B1290-B1289)</f>
        <v/>
      </c>
    </row>
    <row r="1291">
      <c r="G1291">
        <f>IF(C1291="","",C1291*$N$5)</f>
        <v/>
      </c>
      <c r="H1291">
        <f>IF(C1291="","",AVERAGE(C1288:C1291)*$N$5)</f>
        <v/>
      </c>
      <c r="I1291">
        <f>IF(C1291="","",AVERAGE(C1276:C1291)*$N$5)</f>
        <v/>
      </c>
      <c r="J1291">
        <f>IF(C1291="","",J1290+$N$6*(C1291*$N$5-J1290))</f>
        <v/>
      </c>
      <c r="K1291">
        <f>IF(B1291="","",B1291-B1290)</f>
        <v/>
      </c>
    </row>
    <row r="1292">
      <c r="G1292">
        <f>IF(C1292="","",C1292*$N$5)</f>
        <v/>
      </c>
      <c r="H1292">
        <f>IF(C1292="","",AVERAGE(C1289:C1292)*$N$5)</f>
        <v/>
      </c>
      <c r="I1292">
        <f>IF(C1292="","",AVERAGE(C1277:C1292)*$N$5)</f>
        <v/>
      </c>
      <c r="J1292">
        <f>IF(C1292="","",J1291+$N$6*(C1292*$N$5-J1291))</f>
        <v/>
      </c>
      <c r="K1292">
        <f>IF(B1292="","",B1292-B1291)</f>
        <v/>
      </c>
    </row>
    <row r="1293">
      <c r="G1293">
        <f>IF(C1293="","",C1293*$N$5)</f>
        <v/>
      </c>
      <c r="H1293">
        <f>IF(C1293="","",AVERAGE(C1290:C1293)*$N$5)</f>
        <v/>
      </c>
      <c r="I1293">
        <f>IF(C1293="","",AVERAGE(C1278:C1293)*$N$5)</f>
        <v/>
      </c>
      <c r="J1293">
        <f>IF(C1293="","",J1292+$N$6*(C1293*$N$5-J1292))</f>
        <v/>
      </c>
      <c r="K1293">
        <f>IF(B1293="","",B1293-B1292)</f>
        <v/>
      </c>
    </row>
    <row r="1294">
      <c r="G1294">
        <f>IF(C1294="","",C1294*$N$5)</f>
        <v/>
      </c>
      <c r="H1294">
        <f>IF(C1294="","",AVERAGE(C1291:C1294)*$N$5)</f>
        <v/>
      </c>
      <c r="I1294">
        <f>IF(C1294="","",AVERAGE(C1279:C1294)*$N$5)</f>
        <v/>
      </c>
      <c r="J1294">
        <f>IF(C1294="","",J1293+$N$6*(C1294*$N$5-J1293))</f>
        <v/>
      </c>
      <c r="K1294">
        <f>IF(B1294="","",B1294-B1293)</f>
        <v/>
      </c>
    </row>
    <row r="1295">
      <c r="G1295">
        <f>IF(C1295="","",C1295*$N$5)</f>
        <v/>
      </c>
      <c r="H1295">
        <f>IF(C1295="","",AVERAGE(C1292:C1295)*$N$5)</f>
        <v/>
      </c>
      <c r="I1295">
        <f>IF(C1295="","",AVERAGE(C1280:C1295)*$N$5)</f>
        <v/>
      </c>
      <c r="J1295">
        <f>IF(C1295="","",J1294+$N$6*(C1295*$N$5-J1294))</f>
        <v/>
      </c>
      <c r="K1295">
        <f>IF(B1295="","",B1295-B1294)</f>
        <v/>
      </c>
    </row>
    <row r="1296">
      <c r="G1296">
        <f>IF(C1296="","",C1296*$N$5)</f>
        <v/>
      </c>
      <c r="H1296">
        <f>IF(C1296="","",AVERAGE(C1293:C1296)*$N$5)</f>
        <v/>
      </c>
      <c r="I1296">
        <f>IF(C1296="","",AVERAGE(C1281:C1296)*$N$5)</f>
        <v/>
      </c>
      <c r="J1296">
        <f>IF(C1296="","",J1295+$N$6*(C1296*$N$5-J1295))</f>
        <v/>
      </c>
      <c r="K1296">
        <f>IF(B1296="","",B1296-B1295)</f>
        <v/>
      </c>
    </row>
    <row r="1297">
      <c r="G1297">
        <f>IF(C1297="","",C1297*$N$5)</f>
        <v/>
      </c>
      <c r="H1297">
        <f>IF(C1297="","",AVERAGE(C1294:C1297)*$N$5)</f>
        <v/>
      </c>
      <c r="I1297">
        <f>IF(C1297="","",AVERAGE(C1282:C1297)*$N$5)</f>
        <v/>
      </c>
      <c r="J1297">
        <f>IF(C1297="","",J1296+$N$6*(C1297*$N$5-J1296))</f>
        <v/>
      </c>
      <c r="K1297">
        <f>IF(B1297="","",B1297-B1296)</f>
        <v/>
      </c>
    </row>
    <row r="1298">
      <c r="G1298">
        <f>IF(C1298="","",C1298*$N$5)</f>
        <v/>
      </c>
      <c r="H1298">
        <f>IF(C1298="","",AVERAGE(C1295:C1298)*$N$5)</f>
        <v/>
      </c>
      <c r="I1298">
        <f>IF(C1298="","",AVERAGE(C1283:C1298)*$N$5)</f>
        <v/>
      </c>
      <c r="J1298">
        <f>IF(C1298="","",J1297+$N$6*(C1298*$N$5-J1297))</f>
        <v/>
      </c>
      <c r="K1298">
        <f>IF(B1298="","",B1298-B1297)</f>
        <v/>
      </c>
    </row>
    <row r="1299">
      <c r="G1299">
        <f>IF(C1299="","",C1299*$N$5)</f>
        <v/>
      </c>
      <c r="H1299">
        <f>IF(C1299="","",AVERAGE(C1296:C1299)*$N$5)</f>
        <v/>
      </c>
      <c r="I1299">
        <f>IF(C1299="","",AVERAGE(C1284:C1299)*$N$5)</f>
        <v/>
      </c>
      <c r="J1299">
        <f>IF(C1299="","",J1298+$N$6*(C1299*$N$5-J1298))</f>
        <v/>
      </c>
      <c r="K1299">
        <f>IF(B1299="","",B1299-B1298)</f>
        <v/>
      </c>
    </row>
    <row r="1300">
      <c r="G1300">
        <f>IF(C1300="","",C1300*$N$5)</f>
        <v/>
      </c>
      <c r="H1300">
        <f>IF(C1300="","",AVERAGE(C1297:C1300)*$N$5)</f>
        <v/>
      </c>
      <c r="I1300">
        <f>IF(C1300="","",AVERAGE(C1285:C1300)*$N$5)</f>
        <v/>
      </c>
      <c r="J1300">
        <f>IF(C1300="","",J1299+$N$6*(C1300*$N$5-J1299))</f>
        <v/>
      </c>
      <c r="K1300">
        <f>IF(B1300="","",B1300-B1299)</f>
        <v/>
      </c>
    </row>
    <row r="1301">
      <c r="G1301">
        <f>IF(C1301="","",C1301*$N$5)</f>
        <v/>
      </c>
      <c r="H1301">
        <f>IF(C1301="","",AVERAGE(C1298:C1301)*$N$5)</f>
        <v/>
      </c>
      <c r="I1301">
        <f>IF(C1301="","",AVERAGE(C1286:C1301)*$N$5)</f>
        <v/>
      </c>
      <c r="J1301">
        <f>IF(C1301="","",J1300+$N$6*(C1301*$N$5-J1300))</f>
        <v/>
      </c>
      <c r="K1301">
        <f>IF(B1301="","",B1301-B1300)</f>
        <v/>
      </c>
    </row>
    <row r="1302">
      <c r="G1302">
        <f>IF(C1302="","",C1302*$N$5)</f>
        <v/>
      </c>
      <c r="H1302">
        <f>IF(C1302="","",AVERAGE(C1299:C1302)*$N$5)</f>
        <v/>
      </c>
      <c r="I1302">
        <f>IF(C1302="","",AVERAGE(C1287:C1302)*$N$5)</f>
        <v/>
      </c>
      <c r="J1302">
        <f>IF(C1302="","",J1301+$N$6*(C1302*$N$5-J1301))</f>
        <v/>
      </c>
      <c r="K1302">
        <f>IF(B1302="","",B1302-B1301)</f>
        <v/>
      </c>
    </row>
    <row r="1303">
      <c r="G1303">
        <f>IF(C1303="","",C1303*$N$5)</f>
        <v/>
      </c>
      <c r="H1303">
        <f>IF(C1303="","",AVERAGE(C1300:C1303)*$N$5)</f>
        <v/>
      </c>
      <c r="I1303">
        <f>IF(C1303="","",AVERAGE(C1288:C1303)*$N$5)</f>
        <v/>
      </c>
      <c r="J1303">
        <f>IF(C1303="","",J1302+$N$6*(C1303*$N$5-J1302))</f>
        <v/>
      </c>
      <c r="K1303">
        <f>IF(B1303="","",B1303-B1302)</f>
        <v/>
      </c>
    </row>
    <row r="1304">
      <c r="G1304">
        <f>IF(C1304="","",C1304*$N$5)</f>
        <v/>
      </c>
      <c r="H1304">
        <f>IF(C1304="","",AVERAGE(C1301:C1304)*$N$5)</f>
        <v/>
      </c>
      <c r="I1304">
        <f>IF(C1304="","",AVERAGE(C1289:C1304)*$N$5)</f>
        <v/>
      </c>
      <c r="J1304">
        <f>IF(C1304="","",J1303+$N$6*(C1304*$N$5-J1303))</f>
        <v/>
      </c>
      <c r="K1304">
        <f>IF(B1304="","",B1304-B1303)</f>
        <v/>
      </c>
    </row>
    <row r="1305">
      <c r="G1305">
        <f>IF(C1305="","",C1305*$N$5)</f>
        <v/>
      </c>
      <c r="H1305">
        <f>IF(C1305="","",AVERAGE(C1302:C1305)*$N$5)</f>
        <v/>
      </c>
      <c r="I1305">
        <f>IF(C1305="","",AVERAGE(C1290:C1305)*$N$5)</f>
        <v/>
      </c>
      <c r="J1305">
        <f>IF(C1305="","",J1304+$N$6*(C1305*$N$5-J1304))</f>
        <v/>
      </c>
      <c r="K1305">
        <f>IF(B1305="","",B1305-B1304)</f>
        <v/>
      </c>
    </row>
    <row r="1306">
      <c r="G1306">
        <f>IF(C1306="","",C1306*$N$5)</f>
        <v/>
      </c>
      <c r="H1306">
        <f>IF(C1306="","",AVERAGE(C1303:C1306)*$N$5)</f>
        <v/>
      </c>
      <c r="I1306">
        <f>IF(C1306="","",AVERAGE(C1291:C1306)*$N$5)</f>
        <v/>
      </c>
      <c r="J1306">
        <f>IF(C1306="","",J1305+$N$6*(C1306*$N$5-J1305))</f>
        <v/>
      </c>
      <c r="K1306">
        <f>IF(B1306="","",B1306-B1305)</f>
        <v/>
      </c>
    </row>
    <row r="1307">
      <c r="G1307">
        <f>IF(C1307="","",C1307*$N$5)</f>
        <v/>
      </c>
      <c r="H1307">
        <f>IF(C1307="","",AVERAGE(C1304:C1307)*$N$5)</f>
        <v/>
      </c>
      <c r="I1307">
        <f>IF(C1307="","",AVERAGE(C1292:C1307)*$N$5)</f>
        <v/>
      </c>
      <c r="J1307">
        <f>IF(C1307="","",J1306+$N$6*(C1307*$N$5-J1306))</f>
        <v/>
      </c>
      <c r="K1307">
        <f>IF(B1307="","",B1307-B1306)</f>
        <v/>
      </c>
    </row>
    <row r="1308">
      <c r="G1308">
        <f>IF(C1308="","",C1308*$N$5)</f>
        <v/>
      </c>
      <c r="H1308">
        <f>IF(C1308="","",AVERAGE(C1305:C1308)*$N$5)</f>
        <v/>
      </c>
      <c r="I1308">
        <f>IF(C1308="","",AVERAGE(C1293:C1308)*$N$5)</f>
        <v/>
      </c>
      <c r="J1308">
        <f>IF(C1308="","",J1307+$N$6*(C1308*$N$5-J1307))</f>
        <v/>
      </c>
      <c r="K1308">
        <f>IF(B1308="","",B1308-B1307)</f>
        <v/>
      </c>
    </row>
    <row r="1309">
      <c r="G1309">
        <f>IF(C1309="","",C1309*$N$5)</f>
        <v/>
      </c>
      <c r="H1309">
        <f>IF(C1309="","",AVERAGE(C1306:C1309)*$N$5)</f>
        <v/>
      </c>
      <c r="I1309">
        <f>IF(C1309="","",AVERAGE(C1294:C1309)*$N$5)</f>
        <v/>
      </c>
      <c r="J1309">
        <f>IF(C1309="","",J1308+$N$6*(C1309*$N$5-J1308))</f>
        <v/>
      </c>
      <c r="K1309">
        <f>IF(B1309="","",B1309-B1308)</f>
        <v/>
      </c>
    </row>
    <row r="1310">
      <c r="G1310">
        <f>IF(C1310="","",C1310*$N$5)</f>
        <v/>
      </c>
      <c r="H1310">
        <f>IF(C1310="","",AVERAGE(C1307:C1310)*$N$5)</f>
        <v/>
      </c>
      <c r="I1310">
        <f>IF(C1310="","",AVERAGE(C1295:C1310)*$N$5)</f>
        <v/>
      </c>
      <c r="J1310">
        <f>IF(C1310="","",J1309+$N$6*(C1310*$N$5-J1309))</f>
        <v/>
      </c>
      <c r="K1310">
        <f>IF(B1310="","",B1310-B1309)</f>
        <v/>
      </c>
    </row>
    <row r="1311">
      <c r="G1311">
        <f>IF(C1311="","",C1311*$N$5)</f>
        <v/>
      </c>
      <c r="H1311">
        <f>IF(C1311="","",AVERAGE(C1308:C1311)*$N$5)</f>
        <v/>
      </c>
      <c r="I1311">
        <f>IF(C1311="","",AVERAGE(C1296:C1311)*$N$5)</f>
        <v/>
      </c>
      <c r="J1311">
        <f>IF(C1311="","",J1310+$N$6*(C1311*$N$5-J1310))</f>
        <v/>
      </c>
      <c r="K1311">
        <f>IF(B1311="","",B1311-B1310)</f>
        <v/>
      </c>
    </row>
    <row r="1312">
      <c r="G1312">
        <f>IF(C1312="","",C1312*$N$5)</f>
        <v/>
      </c>
      <c r="H1312">
        <f>IF(C1312="","",AVERAGE(C1309:C1312)*$N$5)</f>
        <v/>
      </c>
      <c r="I1312">
        <f>IF(C1312="","",AVERAGE(C1297:C1312)*$N$5)</f>
        <v/>
      </c>
      <c r="J1312">
        <f>IF(C1312="","",J1311+$N$6*(C1312*$N$5-J1311))</f>
        <v/>
      </c>
      <c r="K1312">
        <f>IF(B1312="","",B1312-B1311)</f>
        <v/>
      </c>
    </row>
    <row r="1313">
      <c r="G1313">
        <f>IF(C1313="","",C1313*$N$5)</f>
        <v/>
      </c>
      <c r="H1313">
        <f>IF(C1313="","",AVERAGE(C1310:C1313)*$N$5)</f>
        <v/>
      </c>
      <c r="I1313">
        <f>IF(C1313="","",AVERAGE(C1298:C1313)*$N$5)</f>
        <v/>
      </c>
      <c r="J1313">
        <f>IF(C1313="","",J1312+$N$6*(C1313*$N$5-J1312))</f>
        <v/>
      </c>
      <c r="K1313">
        <f>IF(B1313="","",B1313-B1312)</f>
        <v/>
      </c>
    </row>
    <row r="1314">
      <c r="G1314">
        <f>IF(C1314="","",C1314*$N$5)</f>
        <v/>
      </c>
      <c r="H1314">
        <f>IF(C1314="","",AVERAGE(C1311:C1314)*$N$5)</f>
        <v/>
      </c>
      <c r="I1314">
        <f>IF(C1314="","",AVERAGE(C1299:C1314)*$N$5)</f>
        <v/>
      </c>
      <c r="J1314">
        <f>IF(C1314="","",J1313+$N$6*(C1314*$N$5-J1313))</f>
        <v/>
      </c>
      <c r="K1314">
        <f>IF(B1314="","",B1314-B1313)</f>
        <v/>
      </c>
    </row>
    <row r="1315">
      <c r="G1315">
        <f>IF(C1315="","",C1315*$N$5)</f>
        <v/>
      </c>
      <c r="H1315">
        <f>IF(C1315="","",AVERAGE(C1312:C1315)*$N$5)</f>
        <v/>
      </c>
      <c r="I1315">
        <f>IF(C1315="","",AVERAGE(C1300:C1315)*$N$5)</f>
        <v/>
      </c>
      <c r="J1315">
        <f>IF(C1315="","",J1314+$N$6*(C1315*$N$5-J1314))</f>
        <v/>
      </c>
      <c r="K1315">
        <f>IF(B1315="","",B1315-B1314)</f>
        <v/>
      </c>
    </row>
    <row r="1316">
      <c r="G1316">
        <f>IF(C1316="","",C1316*$N$5)</f>
        <v/>
      </c>
      <c r="H1316">
        <f>IF(C1316="","",AVERAGE(C1313:C1316)*$N$5)</f>
        <v/>
      </c>
      <c r="I1316">
        <f>IF(C1316="","",AVERAGE(C1301:C1316)*$N$5)</f>
        <v/>
      </c>
      <c r="J1316">
        <f>IF(C1316="","",J1315+$N$6*(C1316*$N$5-J1315))</f>
        <v/>
      </c>
      <c r="K1316">
        <f>IF(B1316="","",B1316-B1315)</f>
        <v/>
      </c>
    </row>
    <row r="1317">
      <c r="G1317">
        <f>IF(C1317="","",C1317*$N$5)</f>
        <v/>
      </c>
      <c r="H1317">
        <f>IF(C1317="","",AVERAGE(C1314:C1317)*$N$5)</f>
        <v/>
      </c>
      <c r="I1317">
        <f>IF(C1317="","",AVERAGE(C1302:C1317)*$N$5)</f>
        <v/>
      </c>
      <c r="J1317">
        <f>IF(C1317="","",J1316+$N$6*(C1317*$N$5-J1316))</f>
        <v/>
      </c>
      <c r="K1317">
        <f>IF(B1317="","",B1317-B1316)</f>
        <v/>
      </c>
    </row>
    <row r="1318">
      <c r="G1318">
        <f>IF(C1318="","",C1318*$N$5)</f>
        <v/>
      </c>
      <c r="H1318">
        <f>IF(C1318="","",AVERAGE(C1315:C1318)*$N$5)</f>
        <v/>
      </c>
      <c r="I1318">
        <f>IF(C1318="","",AVERAGE(C1303:C1318)*$N$5)</f>
        <v/>
      </c>
      <c r="J1318">
        <f>IF(C1318="","",J1317+$N$6*(C1318*$N$5-J1317))</f>
        <v/>
      </c>
      <c r="K1318">
        <f>IF(B1318="","",B1318-B1317)</f>
        <v/>
      </c>
    </row>
    <row r="1319">
      <c r="G1319">
        <f>IF(C1319="","",C1319*$N$5)</f>
        <v/>
      </c>
      <c r="H1319">
        <f>IF(C1319="","",AVERAGE(C1316:C1319)*$N$5)</f>
        <v/>
      </c>
      <c r="I1319">
        <f>IF(C1319="","",AVERAGE(C1304:C1319)*$N$5)</f>
        <v/>
      </c>
      <c r="J1319">
        <f>IF(C1319="","",J1318+$N$6*(C1319*$N$5-J1318))</f>
        <v/>
      </c>
      <c r="K1319">
        <f>IF(B1319="","",B1319-B1318)</f>
        <v/>
      </c>
    </row>
    <row r="1320">
      <c r="G1320">
        <f>IF(C1320="","",C1320*$N$5)</f>
        <v/>
      </c>
      <c r="H1320">
        <f>IF(C1320="","",AVERAGE(C1317:C1320)*$N$5)</f>
        <v/>
      </c>
      <c r="I1320">
        <f>IF(C1320="","",AVERAGE(C1305:C1320)*$N$5)</f>
        <v/>
      </c>
      <c r="J1320">
        <f>IF(C1320="","",J1319+$N$6*(C1320*$N$5-J1319))</f>
        <v/>
      </c>
      <c r="K1320">
        <f>IF(B1320="","",B1320-B1319)</f>
        <v/>
      </c>
    </row>
    <row r="1321">
      <c r="G1321">
        <f>IF(C1321="","",C1321*$N$5)</f>
        <v/>
      </c>
      <c r="H1321">
        <f>IF(C1321="","",AVERAGE(C1318:C1321)*$N$5)</f>
        <v/>
      </c>
      <c r="I1321">
        <f>IF(C1321="","",AVERAGE(C1306:C1321)*$N$5)</f>
        <v/>
      </c>
      <c r="J1321">
        <f>IF(C1321="","",J1320+$N$6*(C1321*$N$5-J1320))</f>
        <v/>
      </c>
      <c r="K1321">
        <f>IF(B1321="","",B1321-B1320)</f>
        <v/>
      </c>
    </row>
    <row r="1322">
      <c r="G1322">
        <f>IF(C1322="","",C1322*$N$5)</f>
        <v/>
      </c>
      <c r="H1322">
        <f>IF(C1322="","",AVERAGE(C1319:C1322)*$N$5)</f>
        <v/>
      </c>
      <c r="I1322">
        <f>IF(C1322="","",AVERAGE(C1307:C1322)*$N$5)</f>
        <v/>
      </c>
      <c r="J1322">
        <f>IF(C1322="","",J1321+$N$6*(C1322*$N$5-J1321))</f>
        <v/>
      </c>
      <c r="K1322">
        <f>IF(B1322="","",B1322-B1321)</f>
        <v/>
      </c>
    </row>
    <row r="1323">
      <c r="G1323">
        <f>IF(C1323="","",C1323*$N$5)</f>
        <v/>
      </c>
      <c r="H1323">
        <f>IF(C1323="","",AVERAGE(C1320:C1323)*$N$5)</f>
        <v/>
      </c>
      <c r="I1323">
        <f>IF(C1323="","",AVERAGE(C1308:C1323)*$N$5)</f>
        <v/>
      </c>
      <c r="J1323">
        <f>IF(C1323="","",J1322+$N$6*(C1323*$N$5-J1322))</f>
        <v/>
      </c>
      <c r="K1323">
        <f>IF(B1323="","",B1323-B1322)</f>
        <v/>
      </c>
    </row>
    <row r="1324">
      <c r="G1324">
        <f>IF(C1324="","",C1324*$N$5)</f>
        <v/>
      </c>
      <c r="H1324">
        <f>IF(C1324="","",AVERAGE(C1321:C1324)*$N$5)</f>
        <v/>
      </c>
      <c r="I1324">
        <f>IF(C1324="","",AVERAGE(C1309:C1324)*$N$5)</f>
        <v/>
      </c>
      <c r="J1324">
        <f>IF(C1324="","",J1323+$N$6*(C1324*$N$5-J1323))</f>
        <v/>
      </c>
      <c r="K1324">
        <f>IF(B1324="","",B1324-B1323)</f>
        <v/>
      </c>
    </row>
    <row r="1325">
      <c r="G1325">
        <f>IF(C1325="","",C1325*$N$5)</f>
        <v/>
      </c>
      <c r="H1325">
        <f>IF(C1325="","",AVERAGE(C1322:C1325)*$N$5)</f>
        <v/>
      </c>
      <c r="I1325">
        <f>IF(C1325="","",AVERAGE(C1310:C1325)*$N$5)</f>
        <v/>
      </c>
      <c r="J1325">
        <f>IF(C1325="","",J1324+$N$6*(C1325*$N$5-J1324))</f>
        <v/>
      </c>
      <c r="K1325">
        <f>IF(B1325="","",B1325-B1324)</f>
        <v/>
      </c>
    </row>
    <row r="1326">
      <c r="G1326">
        <f>IF(C1326="","",C1326*$N$5)</f>
        <v/>
      </c>
      <c r="H1326">
        <f>IF(C1326="","",AVERAGE(C1323:C1326)*$N$5)</f>
        <v/>
      </c>
      <c r="I1326">
        <f>IF(C1326="","",AVERAGE(C1311:C1326)*$N$5)</f>
        <v/>
      </c>
      <c r="J1326">
        <f>IF(C1326="","",J1325+$N$6*(C1326*$N$5-J1325))</f>
        <v/>
      </c>
      <c r="K1326">
        <f>IF(B1326="","",B1326-B1325)</f>
        <v/>
      </c>
    </row>
    <row r="1327">
      <c r="G1327">
        <f>IF(C1327="","",C1327*$N$5)</f>
        <v/>
      </c>
      <c r="H1327">
        <f>IF(C1327="","",AVERAGE(C1324:C1327)*$N$5)</f>
        <v/>
      </c>
      <c r="I1327">
        <f>IF(C1327="","",AVERAGE(C1312:C1327)*$N$5)</f>
        <v/>
      </c>
      <c r="J1327">
        <f>IF(C1327="","",J1326+$N$6*(C1327*$N$5-J1326))</f>
        <v/>
      </c>
      <c r="K1327">
        <f>IF(B1327="","",B1327-B1326)</f>
        <v/>
      </c>
    </row>
    <row r="1328">
      <c r="G1328">
        <f>IF(C1328="","",C1328*$N$5)</f>
        <v/>
      </c>
      <c r="H1328">
        <f>IF(C1328="","",AVERAGE(C1325:C1328)*$N$5)</f>
        <v/>
      </c>
      <c r="I1328">
        <f>IF(C1328="","",AVERAGE(C1313:C1328)*$N$5)</f>
        <v/>
      </c>
      <c r="J1328">
        <f>IF(C1328="","",J1327+$N$6*(C1328*$N$5-J1327))</f>
        <v/>
      </c>
      <c r="K1328">
        <f>IF(B1328="","",B1328-B1327)</f>
        <v/>
      </c>
    </row>
    <row r="1329">
      <c r="G1329">
        <f>IF(C1329="","",C1329*$N$5)</f>
        <v/>
      </c>
      <c r="H1329">
        <f>IF(C1329="","",AVERAGE(C1326:C1329)*$N$5)</f>
        <v/>
      </c>
      <c r="I1329">
        <f>IF(C1329="","",AVERAGE(C1314:C1329)*$N$5)</f>
        <v/>
      </c>
      <c r="J1329">
        <f>IF(C1329="","",J1328+$N$6*(C1329*$N$5-J1328))</f>
        <v/>
      </c>
      <c r="K1329">
        <f>IF(B1329="","",B1329-B1328)</f>
        <v/>
      </c>
    </row>
    <row r="1330">
      <c r="G1330">
        <f>IF(C1330="","",C1330*$N$5)</f>
        <v/>
      </c>
      <c r="H1330">
        <f>IF(C1330="","",AVERAGE(C1327:C1330)*$N$5)</f>
        <v/>
      </c>
      <c r="I1330">
        <f>IF(C1330="","",AVERAGE(C1315:C1330)*$N$5)</f>
        <v/>
      </c>
      <c r="J1330">
        <f>IF(C1330="","",J1329+$N$6*(C1330*$N$5-J1329))</f>
        <v/>
      </c>
      <c r="K1330">
        <f>IF(B1330="","",B1330-B1329)</f>
        <v/>
      </c>
    </row>
    <row r="1331">
      <c r="G1331">
        <f>IF(C1331="","",C1331*$N$5)</f>
        <v/>
      </c>
      <c r="H1331">
        <f>IF(C1331="","",AVERAGE(C1328:C1331)*$N$5)</f>
        <v/>
      </c>
      <c r="I1331">
        <f>IF(C1331="","",AVERAGE(C1316:C1331)*$N$5)</f>
        <v/>
      </c>
      <c r="J1331">
        <f>IF(C1331="","",J1330+$N$6*(C1331*$N$5-J1330))</f>
        <v/>
      </c>
      <c r="K1331">
        <f>IF(B1331="","",B1331-B1330)</f>
        <v/>
      </c>
    </row>
    <row r="1332">
      <c r="G1332">
        <f>IF(C1332="","",C1332*$N$5)</f>
        <v/>
      </c>
      <c r="H1332">
        <f>IF(C1332="","",AVERAGE(C1329:C1332)*$N$5)</f>
        <v/>
      </c>
      <c r="I1332">
        <f>IF(C1332="","",AVERAGE(C1317:C1332)*$N$5)</f>
        <v/>
      </c>
      <c r="J1332">
        <f>IF(C1332="","",J1331+$N$6*(C1332*$N$5-J1331))</f>
        <v/>
      </c>
      <c r="K1332">
        <f>IF(B1332="","",B1332-B1331)</f>
        <v/>
      </c>
    </row>
    <row r="1333">
      <c r="G1333">
        <f>IF(C1333="","",C1333*$N$5)</f>
        <v/>
      </c>
      <c r="H1333">
        <f>IF(C1333="","",AVERAGE(C1330:C1333)*$N$5)</f>
        <v/>
      </c>
      <c r="I1333">
        <f>IF(C1333="","",AVERAGE(C1318:C1333)*$N$5)</f>
        <v/>
      </c>
      <c r="J1333">
        <f>IF(C1333="","",J1332+$N$6*(C1333*$N$5-J1332))</f>
        <v/>
      </c>
      <c r="K1333">
        <f>IF(B1333="","",B1333-B1332)</f>
        <v/>
      </c>
    </row>
    <row r="1334">
      <c r="G1334">
        <f>IF(C1334="","",C1334*$N$5)</f>
        <v/>
      </c>
      <c r="H1334">
        <f>IF(C1334="","",AVERAGE(C1331:C1334)*$N$5)</f>
        <v/>
      </c>
      <c r="I1334">
        <f>IF(C1334="","",AVERAGE(C1319:C1334)*$N$5)</f>
        <v/>
      </c>
      <c r="J1334">
        <f>IF(C1334="","",J1333+$N$6*(C1334*$N$5-J1333))</f>
        <v/>
      </c>
      <c r="K1334">
        <f>IF(B1334="","",B1334-B1333)</f>
        <v/>
      </c>
    </row>
    <row r="1335">
      <c r="G1335">
        <f>IF(C1335="","",C1335*$N$5)</f>
        <v/>
      </c>
      <c r="H1335">
        <f>IF(C1335="","",AVERAGE(C1332:C1335)*$N$5)</f>
        <v/>
      </c>
      <c r="I1335">
        <f>IF(C1335="","",AVERAGE(C1320:C1335)*$N$5)</f>
        <v/>
      </c>
      <c r="J1335">
        <f>IF(C1335="","",J1334+$N$6*(C1335*$N$5-J1334))</f>
        <v/>
      </c>
      <c r="K1335">
        <f>IF(B1335="","",B1335-B1334)</f>
        <v/>
      </c>
    </row>
    <row r="1336">
      <c r="G1336">
        <f>IF(C1336="","",C1336*$N$5)</f>
        <v/>
      </c>
      <c r="H1336">
        <f>IF(C1336="","",AVERAGE(C1333:C1336)*$N$5)</f>
        <v/>
      </c>
      <c r="I1336">
        <f>IF(C1336="","",AVERAGE(C1321:C1336)*$N$5)</f>
        <v/>
      </c>
      <c r="J1336">
        <f>IF(C1336="","",J1335+$N$6*(C1336*$N$5-J1335))</f>
        <v/>
      </c>
      <c r="K1336">
        <f>IF(B1336="","",B1336-B1335)</f>
        <v/>
      </c>
    </row>
    <row r="1337">
      <c r="G1337">
        <f>IF(C1337="","",C1337*$N$5)</f>
        <v/>
      </c>
      <c r="H1337">
        <f>IF(C1337="","",AVERAGE(C1334:C1337)*$N$5)</f>
        <v/>
      </c>
      <c r="I1337">
        <f>IF(C1337="","",AVERAGE(C1322:C1337)*$N$5)</f>
        <v/>
      </c>
      <c r="J1337">
        <f>IF(C1337="","",J1336+$N$6*(C1337*$N$5-J1336))</f>
        <v/>
      </c>
      <c r="K1337">
        <f>IF(B1337="","",B1337-B1336)</f>
        <v/>
      </c>
    </row>
    <row r="1338">
      <c r="G1338">
        <f>IF(C1338="","",C1338*$N$5)</f>
        <v/>
      </c>
      <c r="H1338">
        <f>IF(C1338="","",AVERAGE(C1335:C1338)*$N$5)</f>
        <v/>
      </c>
      <c r="I1338">
        <f>IF(C1338="","",AVERAGE(C1323:C1338)*$N$5)</f>
        <v/>
      </c>
      <c r="J1338">
        <f>IF(C1338="","",J1337+$N$6*(C1338*$N$5-J1337))</f>
        <v/>
      </c>
      <c r="K1338">
        <f>IF(B1338="","",B1338-B1337)</f>
        <v/>
      </c>
    </row>
    <row r="1339">
      <c r="G1339">
        <f>IF(C1339="","",C1339*$N$5)</f>
        <v/>
      </c>
      <c r="H1339">
        <f>IF(C1339="","",AVERAGE(C1336:C1339)*$N$5)</f>
        <v/>
      </c>
      <c r="I1339">
        <f>IF(C1339="","",AVERAGE(C1324:C1339)*$N$5)</f>
        <v/>
      </c>
      <c r="J1339">
        <f>IF(C1339="","",J1338+$N$6*(C1339*$N$5-J1338))</f>
        <v/>
      </c>
      <c r="K1339">
        <f>IF(B1339="","",B1339-B1338)</f>
        <v/>
      </c>
    </row>
    <row r="1340">
      <c r="G1340">
        <f>IF(C1340="","",C1340*$N$5)</f>
        <v/>
      </c>
      <c r="H1340">
        <f>IF(C1340="","",AVERAGE(C1337:C1340)*$N$5)</f>
        <v/>
      </c>
      <c r="I1340">
        <f>IF(C1340="","",AVERAGE(C1325:C1340)*$N$5)</f>
        <v/>
      </c>
      <c r="J1340">
        <f>IF(C1340="","",J1339+$N$6*(C1340*$N$5-J1339))</f>
        <v/>
      </c>
      <c r="K1340">
        <f>IF(B1340="","",B1340-B1339)</f>
        <v/>
      </c>
    </row>
    <row r="1341">
      <c r="G1341">
        <f>IF(C1341="","",C1341*$N$5)</f>
        <v/>
      </c>
      <c r="H1341">
        <f>IF(C1341="","",AVERAGE(C1338:C1341)*$N$5)</f>
        <v/>
      </c>
      <c r="I1341">
        <f>IF(C1341="","",AVERAGE(C1326:C1341)*$N$5)</f>
        <v/>
      </c>
      <c r="J1341">
        <f>IF(C1341="","",J1340+$N$6*(C1341*$N$5-J1340))</f>
        <v/>
      </c>
      <c r="K1341">
        <f>IF(B1341="","",B1341-B1340)</f>
        <v/>
      </c>
    </row>
    <row r="1342">
      <c r="G1342">
        <f>IF(C1342="","",C1342*$N$5)</f>
        <v/>
      </c>
      <c r="H1342">
        <f>IF(C1342="","",AVERAGE(C1339:C1342)*$N$5)</f>
        <v/>
      </c>
      <c r="I1342">
        <f>IF(C1342="","",AVERAGE(C1327:C1342)*$N$5)</f>
        <v/>
      </c>
      <c r="J1342">
        <f>IF(C1342="","",J1341+$N$6*(C1342*$N$5-J1341))</f>
        <v/>
      </c>
      <c r="K1342">
        <f>IF(B1342="","",B1342-B1341)</f>
        <v/>
      </c>
    </row>
    <row r="1343">
      <c r="G1343">
        <f>IF(C1343="","",C1343*$N$5)</f>
        <v/>
      </c>
      <c r="H1343">
        <f>IF(C1343="","",AVERAGE(C1340:C1343)*$N$5)</f>
        <v/>
      </c>
      <c r="I1343">
        <f>IF(C1343="","",AVERAGE(C1328:C1343)*$N$5)</f>
        <v/>
      </c>
      <c r="J1343">
        <f>IF(C1343="","",J1342+$N$6*(C1343*$N$5-J1342))</f>
        <v/>
      </c>
      <c r="K1343">
        <f>IF(B1343="","",B1343-B1342)</f>
        <v/>
      </c>
    </row>
    <row r="1344">
      <c r="G1344">
        <f>IF(C1344="","",C1344*$N$5)</f>
        <v/>
      </c>
      <c r="H1344">
        <f>IF(C1344="","",AVERAGE(C1341:C1344)*$N$5)</f>
        <v/>
      </c>
      <c r="I1344">
        <f>IF(C1344="","",AVERAGE(C1329:C1344)*$N$5)</f>
        <v/>
      </c>
      <c r="J1344">
        <f>IF(C1344="","",J1343+$N$6*(C1344*$N$5-J1343))</f>
        <v/>
      </c>
      <c r="K1344">
        <f>IF(B1344="","",B1344-B1343)</f>
        <v/>
      </c>
    </row>
    <row r="1345">
      <c r="G1345">
        <f>IF(C1345="","",C1345*$N$5)</f>
        <v/>
      </c>
      <c r="H1345">
        <f>IF(C1345="","",AVERAGE(C1342:C1345)*$N$5)</f>
        <v/>
      </c>
      <c r="I1345">
        <f>IF(C1345="","",AVERAGE(C1330:C1345)*$N$5)</f>
        <v/>
      </c>
      <c r="J1345">
        <f>IF(C1345="","",J1344+$N$6*(C1345*$N$5-J1344))</f>
        <v/>
      </c>
      <c r="K1345">
        <f>IF(B1345="","",B1345-B1344)</f>
        <v/>
      </c>
    </row>
    <row r="1346">
      <c r="G1346">
        <f>IF(C1346="","",C1346*$N$5)</f>
        <v/>
      </c>
      <c r="H1346">
        <f>IF(C1346="","",AVERAGE(C1343:C1346)*$N$5)</f>
        <v/>
      </c>
      <c r="I1346">
        <f>IF(C1346="","",AVERAGE(C1331:C1346)*$N$5)</f>
        <v/>
      </c>
      <c r="J1346">
        <f>IF(C1346="","",J1345+$N$6*(C1346*$N$5-J1345))</f>
        <v/>
      </c>
      <c r="K1346">
        <f>IF(B1346="","",B1346-B1345)</f>
        <v/>
      </c>
    </row>
    <row r="1347">
      <c r="G1347">
        <f>IF(C1347="","",C1347*$N$5)</f>
        <v/>
      </c>
      <c r="H1347">
        <f>IF(C1347="","",AVERAGE(C1344:C1347)*$N$5)</f>
        <v/>
      </c>
      <c r="I1347">
        <f>IF(C1347="","",AVERAGE(C1332:C1347)*$N$5)</f>
        <v/>
      </c>
      <c r="J1347">
        <f>IF(C1347="","",J1346+$N$6*(C1347*$N$5-J1346))</f>
        <v/>
      </c>
      <c r="K1347">
        <f>IF(B1347="","",B1347-B1346)</f>
        <v/>
      </c>
    </row>
    <row r="1348">
      <c r="G1348">
        <f>IF(C1348="","",C1348*$N$5)</f>
        <v/>
      </c>
      <c r="H1348">
        <f>IF(C1348="","",AVERAGE(C1345:C1348)*$N$5)</f>
        <v/>
      </c>
      <c r="I1348">
        <f>IF(C1348="","",AVERAGE(C1333:C1348)*$N$5)</f>
        <v/>
      </c>
      <c r="J1348">
        <f>IF(C1348="","",J1347+$N$6*(C1348*$N$5-J1347))</f>
        <v/>
      </c>
      <c r="K1348">
        <f>IF(B1348="","",B1348-B1347)</f>
        <v/>
      </c>
    </row>
    <row r="1349">
      <c r="G1349">
        <f>IF(C1349="","",C1349*$N$5)</f>
        <v/>
      </c>
      <c r="H1349">
        <f>IF(C1349="","",AVERAGE(C1346:C1349)*$N$5)</f>
        <v/>
      </c>
      <c r="I1349">
        <f>IF(C1349="","",AVERAGE(C1334:C1349)*$N$5)</f>
        <v/>
      </c>
      <c r="J1349">
        <f>IF(C1349="","",J1348+$N$6*(C1349*$N$5-J1348))</f>
        <v/>
      </c>
      <c r="K1349">
        <f>IF(B1349="","",B1349-B1348)</f>
        <v/>
      </c>
    </row>
    <row r="1350">
      <c r="G1350">
        <f>IF(C1350="","",C1350*$N$5)</f>
        <v/>
      </c>
      <c r="H1350">
        <f>IF(C1350="","",AVERAGE(C1347:C1350)*$N$5)</f>
        <v/>
      </c>
      <c r="I1350">
        <f>IF(C1350="","",AVERAGE(C1335:C1350)*$N$5)</f>
        <v/>
      </c>
      <c r="J1350">
        <f>IF(C1350="","",J1349+$N$6*(C1350*$N$5-J1349))</f>
        <v/>
      </c>
      <c r="K1350">
        <f>IF(B1350="","",B1350-B1349)</f>
        <v/>
      </c>
    </row>
    <row r="1351">
      <c r="G1351">
        <f>IF(C1351="","",C1351*$N$5)</f>
        <v/>
      </c>
      <c r="H1351">
        <f>IF(C1351="","",AVERAGE(C1348:C1351)*$N$5)</f>
        <v/>
      </c>
      <c r="I1351">
        <f>IF(C1351="","",AVERAGE(C1336:C1351)*$N$5)</f>
        <v/>
      </c>
      <c r="J1351">
        <f>IF(C1351="","",J1350+$N$6*(C1351*$N$5-J1350))</f>
        <v/>
      </c>
      <c r="K1351">
        <f>IF(B1351="","",B1351-B1350)</f>
        <v/>
      </c>
    </row>
    <row r="1352">
      <c r="G1352">
        <f>IF(C1352="","",C1352*$N$5)</f>
        <v/>
      </c>
      <c r="H1352">
        <f>IF(C1352="","",AVERAGE(C1349:C1352)*$N$5)</f>
        <v/>
      </c>
      <c r="I1352">
        <f>IF(C1352="","",AVERAGE(C1337:C1352)*$N$5)</f>
        <v/>
      </c>
      <c r="J1352">
        <f>IF(C1352="","",J1351+$N$6*(C1352*$N$5-J1351))</f>
        <v/>
      </c>
      <c r="K1352">
        <f>IF(B1352="","",B1352-B1351)</f>
        <v/>
      </c>
    </row>
    <row r="1353">
      <c r="G1353">
        <f>IF(C1353="","",C1353*$N$5)</f>
        <v/>
      </c>
      <c r="H1353">
        <f>IF(C1353="","",AVERAGE(C1350:C1353)*$N$5)</f>
        <v/>
      </c>
      <c r="I1353">
        <f>IF(C1353="","",AVERAGE(C1338:C1353)*$N$5)</f>
        <v/>
      </c>
      <c r="J1353">
        <f>IF(C1353="","",J1352+$N$6*(C1353*$N$5-J1352))</f>
        <v/>
      </c>
      <c r="K1353">
        <f>IF(B1353="","",B1353-B1352)</f>
        <v/>
      </c>
    </row>
    <row r="1354">
      <c r="G1354">
        <f>IF(C1354="","",C1354*$N$5)</f>
        <v/>
      </c>
      <c r="H1354">
        <f>IF(C1354="","",AVERAGE(C1351:C1354)*$N$5)</f>
        <v/>
      </c>
      <c r="I1354">
        <f>IF(C1354="","",AVERAGE(C1339:C1354)*$N$5)</f>
        <v/>
      </c>
      <c r="J1354">
        <f>IF(C1354="","",J1353+$N$6*(C1354*$N$5-J1353))</f>
        <v/>
      </c>
      <c r="K1354">
        <f>IF(B1354="","",B1354-B1353)</f>
        <v/>
      </c>
    </row>
    <row r="1355">
      <c r="G1355">
        <f>IF(C1355="","",C1355*$N$5)</f>
        <v/>
      </c>
      <c r="H1355">
        <f>IF(C1355="","",AVERAGE(C1352:C1355)*$N$5)</f>
        <v/>
      </c>
      <c r="I1355">
        <f>IF(C1355="","",AVERAGE(C1340:C1355)*$N$5)</f>
        <v/>
      </c>
      <c r="J1355">
        <f>IF(C1355="","",J1354+$N$6*(C1355*$N$5-J1354))</f>
        <v/>
      </c>
      <c r="K1355">
        <f>IF(B1355="","",B1355-B1354)</f>
        <v/>
      </c>
    </row>
    <row r="1356">
      <c r="G1356">
        <f>IF(C1356="","",C1356*$N$5)</f>
        <v/>
      </c>
      <c r="H1356">
        <f>IF(C1356="","",AVERAGE(C1353:C1356)*$N$5)</f>
        <v/>
      </c>
      <c r="I1356">
        <f>IF(C1356="","",AVERAGE(C1341:C1356)*$N$5)</f>
        <v/>
      </c>
      <c r="J1356">
        <f>IF(C1356="","",J1355+$N$6*(C1356*$N$5-J1355))</f>
        <v/>
      </c>
      <c r="K1356">
        <f>IF(B1356="","",B1356-B1355)</f>
        <v/>
      </c>
    </row>
    <row r="1357">
      <c r="G1357">
        <f>IF(C1357="","",C1357*$N$5)</f>
        <v/>
      </c>
      <c r="H1357">
        <f>IF(C1357="","",AVERAGE(C1354:C1357)*$N$5)</f>
        <v/>
      </c>
      <c r="I1357">
        <f>IF(C1357="","",AVERAGE(C1342:C1357)*$N$5)</f>
        <v/>
      </c>
      <c r="J1357">
        <f>IF(C1357="","",J1356+$N$6*(C1357*$N$5-J1356))</f>
        <v/>
      </c>
      <c r="K1357">
        <f>IF(B1357="","",B1357-B1356)</f>
        <v/>
      </c>
    </row>
    <row r="1358">
      <c r="G1358">
        <f>IF(C1358="","",C1358*$N$5)</f>
        <v/>
      </c>
      <c r="H1358">
        <f>IF(C1358="","",AVERAGE(C1355:C1358)*$N$5)</f>
        <v/>
      </c>
      <c r="I1358">
        <f>IF(C1358="","",AVERAGE(C1343:C1358)*$N$5)</f>
        <v/>
      </c>
      <c r="J1358">
        <f>IF(C1358="","",J1357+$N$6*(C1358*$N$5-J1357))</f>
        <v/>
      </c>
      <c r="K1358">
        <f>IF(B1358="","",B1358-B1357)</f>
        <v/>
      </c>
    </row>
    <row r="1359">
      <c r="G1359">
        <f>IF(C1359="","",C1359*$N$5)</f>
        <v/>
      </c>
      <c r="H1359">
        <f>IF(C1359="","",AVERAGE(C1356:C1359)*$N$5)</f>
        <v/>
      </c>
      <c r="I1359">
        <f>IF(C1359="","",AVERAGE(C1344:C1359)*$N$5)</f>
        <v/>
      </c>
      <c r="J1359">
        <f>IF(C1359="","",J1358+$N$6*(C1359*$N$5-J1358))</f>
        <v/>
      </c>
      <c r="K1359">
        <f>IF(B1359="","",B1359-B1358)</f>
        <v/>
      </c>
    </row>
    <row r="1360">
      <c r="G1360">
        <f>IF(C1360="","",C1360*$N$5)</f>
        <v/>
      </c>
      <c r="H1360">
        <f>IF(C1360="","",AVERAGE(C1357:C1360)*$N$5)</f>
        <v/>
      </c>
      <c r="I1360">
        <f>IF(C1360="","",AVERAGE(C1345:C1360)*$N$5)</f>
        <v/>
      </c>
      <c r="J1360">
        <f>IF(C1360="","",J1359+$N$6*(C1360*$N$5-J1359))</f>
        <v/>
      </c>
      <c r="K1360">
        <f>IF(B1360="","",B1360-B1359)</f>
        <v/>
      </c>
    </row>
    <row r="1361">
      <c r="G1361">
        <f>IF(C1361="","",C1361*$N$5)</f>
        <v/>
      </c>
      <c r="H1361">
        <f>IF(C1361="","",AVERAGE(C1358:C1361)*$N$5)</f>
        <v/>
      </c>
      <c r="I1361">
        <f>IF(C1361="","",AVERAGE(C1346:C1361)*$N$5)</f>
        <v/>
      </c>
      <c r="J1361">
        <f>IF(C1361="","",J1360+$N$6*(C1361*$N$5-J1360))</f>
        <v/>
      </c>
      <c r="K1361">
        <f>IF(B1361="","",B1361-B1360)</f>
        <v/>
      </c>
    </row>
    <row r="1362">
      <c r="G1362">
        <f>IF(C1362="","",C1362*$N$5)</f>
        <v/>
      </c>
      <c r="H1362">
        <f>IF(C1362="","",AVERAGE(C1359:C1362)*$N$5)</f>
        <v/>
      </c>
      <c r="I1362">
        <f>IF(C1362="","",AVERAGE(C1347:C1362)*$N$5)</f>
        <v/>
      </c>
      <c r="J1362">
        <f>IF(C1362="","",J1361+$N$6*(C1362*$N$5-J1361))</f>
        <v/>
      </c>
      <c r="K1362">
        <f>IF(B1362="","",B1362-B1361)</f>
        <v/>
      </c>
    </row>
    <row r="1363">
      <c r="G1363">
        <f>IF(C1363="","",C1363*$N$5)</f>
        <v/>
      </c>
      <c r="H1363">
        <f>IF(C1363="","",AVERAGE(C1360:C1363)*$N$5)</f>
        <v/>
      </c>
      <c r="I1363">
        <f>IF(C1363="","",AVERAGE(C1348:C1363)*$N$5)</f>
        <v/>
      </c>
      <c r="J1363">
        <f>IF(C1363="","",J1362+$N$6*(C1363*$N$5-J1362))</f>
        <v/>
      </c>
      <c r="K1363">
        <f>IF(B1363="","",B1363-B1362)</f>
        <v/>
      </c>
    </row>
    <row r="1364">
      <c r="G1364">
        <f>IF(C1364="","",C1364*$N$5)</f>
        <v/>
      </c>
      <c r="H1364">
        <f>IF(C1364="","",AVERAGE(C1361:C1364)*$N$5)</f>
        <v/>
      </c>
      <c r="I1364">
        <f>IF(C1364="","",AVERAGE(C1349:C1364)*$N$5)</f>
        <v/>
      </c>
      <c r="J1364">
        <f>IF(C1364="","",J1363+$N$6*(C1364*$N$5-J1363))</f>
        <v/>
      </c>
      <c r="K1364">
        <f>IF(B1364="","",B1364-B1363)</f>
        <v/>
      </c>
    </row>
    <row r="1365">
      <c r="G1365">
        <f>IF(C1365="","",C1365*$N$5)</f>
        <v/>
      </c>
      <c r="H1365">
        <f>IF(C1365="","",AVERAGE(C1362:C1365)*$N$5)</f>
        <v/>
      </c>
      <c r="I1365">
        <f>IF(C1365="","",AVERAGE(C1350:C1365)*$N$5)</f>
        <v/>
      </c>
      <c r="J1365">
        <f>IF(C1365="","",J1364+$N$6*(C1365*$N$5-J1364))</f>
        <v/>
      </c>
      <c r="K1365">
        <f>IF(B1365="","",B1365-B1364)</f>
        <v/>
      </c>
    </row>
    <row r="1366">
      <c r="G1366">
        <f>IF(C1366="","",C1366*$N$5)</f>
        <v/>
      </c>
      <c r="H1366">
        <f>IF(C1366="","",AVERAGE(C1363:C1366)*$N$5)</f>
        <v/>
      </c>
      <c r="I1366">
        <f>IF(C1366="","",AVERAGE(C1351:C1366)*$N$5)</f>
        <v/>
      </c>
      <c r="J1366">
        <f>IF(C1366="","",J1365+$N$6*(C1366*$N$5-J1365))</f>
        <v/>
      </c>
      <c r="K1366">
        <f>IF(B1366="","",B1366-B1365)</f>
        <v/>
      </c>
    </row>
    <row r="1367">
      <c r="G1367">
        <f>IF(C1367="","",C1367*$N$5)</f>
        <v/>
      </c>
      <c r="H1367">
        <f>IF(C1367="","",AVERAGE(C1364:C1367)*$N$5)</f>
        <v/>
      </c>
      <c r="I1367">
        <f>IF(C1367="","",AVERAGE(C1352:C1367)*$N$5)</f>
        <v/>
      </c>
      <c r="J1367">
        <f>IF(C1367="","",J1366+$N$6*(C1367*$N$5-J1366))</f>
        <v/>
      </c>
      <c r="K1367">
        <f>IF(B1367="","",B1367-B1366)</f>
        <v/>
      </c>
    </row>
    <row r="1368">
      <c r="G1368">
        <f>IF(C1368="","",C1368*$N$5)</f>
        <v/>
      </c>
      <c r="H1368">
        <f>IF(C1368="","",AVERAGE(C1365:C1368)*$N$5)</f>
        <v/>
      </c>
      <c r="I1368">
        <f>IF(C1368="","",AVERAGE(C1353:C1368)*$N$5)</f>
        <v/>
      </c>
      <c r="J1368">
        <f>IF(C1368="","",J1367+$N$6*(C1368*$N$5-J1367))</f>
        <v/>
      </c>
      <c r="K1368">
        <f>IF(B1368="","",B1368-B1367)</f>
        <v/>
      </c>
    </row>
    <row r="1369">
      <c r="G1369">
        <f>IF(C1369="","",C1369*$N$5)</f>
        <v/>
      </c>
      <c r="H1369">
        <f>IF(C1369="","",AVERAGE(C1366:C1369)*$N$5)</f>
        <v/>
      </c>
      <c r="I1369">
        <f>IF(C1369="","",AVERAGE(C1354:C1369)*$N$5)</f>
        <v/>
      </c>
      <c r="J1369">
        <f>IF(C1369="","",J1368+$N$6*(C1369*$N$5-J1368))</f>
        <v/>
      </c>
      <c r="K1369">
        <f>IF(B1369="","",B1369-B1368)</f>
        <v/>
      </c>
    </row>
    <row r="1370">
      <c r="G1370">
        <f>IF(C1370="","",C1370*$N$5)</f>
        <v/>
      </c>
      <c r="H1370">
        <f>IF(C1370="","",AVERAGE(C1367:C1370)*$N$5)</f>
        <v/>
      </c>
      <c r="I1370">
        <f>IF(C1370="","",AVERAGE(C1355:C1370)*$N$5)</f>
        <v/>
      </c>
      <c r="J1370">
        <f>IF(C1370="","",J1369+$N$6*(C1370*$N$5-J1369))</f>
        <v/>
      </c>
      <c r="K1370">
        <f>IF(B1370="","",B1370-B1369)</f>
        <v/>
      </c>
    </row>
    <row r="1371">
      <c r="G1371">
        <f>IF(C1371="","",C1371*$N$5)</f>
        <v/>
      </c>
      <c r="H1371">
        <f>IF(C1371="","",AVERAGE(C1368:C1371)*$N$5)</f>
        <v/>
      </c>
      <c r="I1371">
        <f>IF(C1371="","",AVERAGE(C1356:C1371)*$N$5)</f>
        <v/>
      </c>
      <c r="J1371">
        <f>IF(C1371="","",J1370+$N$6*(C1371*$N$5-J1370))</f>
        <v/>
      </c>
      <c r="K1371">
        <f>IF(B1371="","",B1371-B1370)</f>
        <v/>
      </c>
    </row>
    <row r="1372">
      <c r="G1372">
        <f>IF(C1372="","",C1372*$N$5)</f>
        <v/>
      </c>
      <c r="H1372">
        <f>IF(C1372="","",AVERAGE(C1369:C1372)*$N$5)</f>
        <v/>
      </c>
      <c r="I1372">
        <f>IF(C1372="","",AVERAGE(C1357:C1372)*$N$5)</f>
        <v/>
      </c>
      <c r="J1372">
        <f>IF(C1372="","",J1371+$N$6*(C1372*$N$5-J1371))</f>
        <v/>
      </c>
      <c r="K1372">
        <f>IF(B1372="","",B1372-B1371)</f>
        <v/>
      </c>
    </row>
    <row r="1373">
      <c r="G1373">
        <f>IF(C1373="","",C1373*$N$5)</f>
        <v/>
      </c>
      <c r="H1373">
        <f>IF(C1373="","",AVERAGE(C1370:C1373)*$N$5)</f>
        <v/>
      </c>
      <c r="I1373">
        <f>IF(C1373="","",AVERAGE(C1358:C1373)*$N$5)</f>
        <v/>
      </c>
      <c r="J1373">
        <f>IF(C1373="","",J1372+$N$6*(C1373*$N$5-J1372))</f>
        <v/>
      </c>
      <c r="K1373">
        <f>IF(B1373="","",B1373-B1372)</f>
        <v/>
      </c>
    </row>
    <row r="1374">
      <c r="G1374">
        <f>IF(C1374="","",C1374*$N$5)</f>
        <v/>
      </c>
      <c r="H1374">
        <f>IF(C1374="","",AVERAGE(C1371:C1374)*$N$5)</f>
        <v/>
      </c>
      <c r="I1374">
        <f>IF(C1374="","",AVERAGE(C1359:C1374)*$N$5)</f>
        <v/>
      </c>
      <c r="J1374">
        <f>IF(C1374="","",J1373+$N$6*(C1374*$N$5-J1373))</f>
        <v/>
      </c>
      <c r="K1374">
        <f>IF(B1374="","",B1374-B1373)</f>
        <v/>
      </c>
    </row>
    <row r="1375">
      <c r="G1375">
        <f>IF(C1375="","",C1375*$N$5)</f>
        <v/>
      </c>
      <c r="H1375">
        <f>IF(C1375="","",AVERAGE(C1372:C1375)*$N$5)</f>
        <v/>
      </c>
      <c r="I1375">
        <f>IF(C1375="","",AVERAGE(C1360:C1375)*$N$5)</f>
        <v/>
      </c>
      <c r="J1375">
        <f>IF(C1375="","",J1374+$N$6*(C1375*$N$5-J1374))</f>
        <v/>
      </c>
      <c r="K1375">
        <f>IF(B1375="","",B1375-B1374)</f>
        <v/>
      </c>
    </row>
    <row r="1376">
      <c r="G1376">
        <f>IF(C1376="","",C1376*$N$5)</f>
        <v/>
      </c>
      <c r="H1376">
        <f>IF(C1376="","",AVERAGE(C1373:C1376)*$N$5)</f>
        <v/>
      </c>
      <c r="I1376">
        <f>IF(C1376="","",AVERAGE(C1361:C1376)*$N$5)</f>
        <v/>
      </c>
      <c r="J1376">
        <f>IF(C1376="","",J1375+$N$6*(C1376*$N$5-J1375))</f>
        <v/>
      </c>
      <c r="K1376">
        <f>IF(B1376="","",B1376-B1375)</f>
        <v/>
      </c>
    </row>
    <row r="1377">
      <c r="G1377">
        <f>IF(C1377="","",C1377*$N$5)</f>
        <v/>
      </c>
      <c r="H1377">
        <f>IF(C1377="","",AVERAGE(C1374:C1377)*$N$5)</f>
        <v/>
      </c>
      <c r="I1377">
        <f>IF(C1377="","",AVERAGE(C1362:C1377)*$N$5)</f>
        <v/>
      </c>
      <c r="J1377">
        <f>IF(C1377="","",J1376+$N$6*(C1377*$N$5-J1376))</f>
        <v/>
      </c>
      <c r="K1377">
        <f>IF(B1377="","",B1377-B1376)</f>
        <v/>
      </c>
    </row>
    <row r="1378">
      <c r="G1378">
        <f>IF(C1378="","",C1378*$N$5)</f>
        <v/>
      </c>
      <c r="H1378">
        <f>IF(C1378="","",AVERAGE(C1375:C1378)*$N$5)</f>
        <v/>
      </c>
      <c r="I1378">
        <f>IF(C1378="","",AVERAGE(C1363:C1378)*$N$5)</f>
        <v/>
      </c>
      <c r="J1378">
        <f>IF(C1378="","",J1377+$N$6*(C1378*$N$5-J1377))</f>
        <v/>
      </c>
      <c r="K1378">
        <f>IF(B1378="","",B1378-B1377)</f>
        <v/>
      </c>
    </row>
    <row r="1379">
      <c r="G1379">
        <f>IF(C1379="","",C1379*$N$5)</f>
        <v/>
      </c>
      <c r="H1379">
        <f>IF(C1379="","",AVERAGE(C1376:C1379)*$N$5)</f>
        <v/>
      </c>
      <c r="I1379">
        <f>IF(C1379="","",AVERAGE(C1364:C1379)*$N$5)</f>
        <v/>
      </c>
      <c r="J1379">
        <f>IF(C1379="","",J1378+$N$6*(C1379*$N$5-J1378))</f>
        <v/>
      </c>
      <c r="K1379">
        <f>IF(B1379="","",B1379-B1378)</f>
        <v/>
      </c>
    </row>
    <row r="1380">
      <c r="G1380">
        <f>IF(C1380="","",C1380*$N$5)</f>
        <v/>
      </c>
      <c r="H1380">
        <f>IF(C1380="","",AVERAGE(C1377:C1380)*$N$5)</f>
        <v/>
      </c>
      <c r="I1380">
        <f>IF(C1380="","",AVERAGE(C1365:C1380)*$N$5)</f>
        <v/>
      </c>
      <c r="J1380">
        <f>IF(C1380="","",J1379+$N$6*(C1380*$N$5-J1379))</f>
        <v/>
      </c>
      <c r="K1380">
        <f>IF(B1380="","",B1380-B1379)</f>
        <v/>
      </c>
    </row>
    <row r="1381">
      <c r="G1381">
        <f>IF(C1381="","",C1381*$N$5)</f>
        <v/>
      </c>
      <c r="H1381">
        <f>IF(C1381="","",AVERAGE(C1378:C1381)*$N$5)</f>
        <v/>
      </c>
      <c r="I1381">
        <f>IF(C1381="","",AVERAGE(C1366:C1381)*$N$5)</f>
        <v/>
      </c>
      <c r="J1381">
        <f>IF(C1381="","",J1380+$N$6*(C1381*$N$5-J1380))</f>
        <v/>
      </c>
      <c r="K1381">
        <f>IF(B1381="","",B1381-B1380)</f>
        <v/>
      </c>
    </row>
    <row r="1382">
      <c r="G1382">
        <f>IF(C1382="","",C1382*$N$5)</f>
        <v/>
      </c>
      <c r="H1382">
        <f>IF(C1382="","",AVERAGE(C1379:C1382)*$N$5)</f>
        <v/>
      </c>
      <c r="I1382">
        <f>IF(C1382="","",AVERAGE(C1367:C1382)*$N$5)</f>
        <v/>
      </c>
      <c r="J1382">
        <f>IF(C1382="","",J1381+$N$6*(C1382*$N$5-J1381))</f>
        <v/>
      </c>
      <c r="K1382">
        <f>IF(B1382="","",B1382-B1381)</f>
        <v/>
      </c>
    </row>
    <row r="1383">
      <c r="G1383">
        <f>IF(C1383="","",C1383*$N$5)</f>
        <v/>
      </c>
      <c r="H1383">
        <f>IF(C1383="","",AVERAGE(C1380:C1383)*$N$5)</f>
        <v/>
      </c>
      <c r="I1383">
        <f>IF(C1383="","",AVERAGE(C1368:C1383)*$N$5)</f>
        <v/>
      </c>
      <c r="J1383">
        <f>IF(C1383="","",J1382+$N$6*(C1383*$N$5-J1382))</f>
        <v/>
      </c>
      <c r="K1383">
        <f>IF(B1383="","",B1383-B1382)</f>
        <v/>
      </c>
    </row>
    <row r="1384">
      <c r="G1384">
        <f>IF(C1384="","",C1384*$N$5)</f>
        <v/>
      </c>
      <c r="H1384">
        <f>IF(C1384="","",AVERAGE(C1381:C1384)*$N$5)</f>
        <v/>
      </c>
      <c r="I1384">
        <f>IF(C1384="","",AVERAGE(C1369:C1384)*$N$5)</f>
        <v/>
      </c>
      <c r="J1384">
        <f>IF(C1384="","",J1383+$N$6*(C1384*$N$5-J1383))</f>
        <v/>
      </c>
      <c r="K1384">
        <f>IF(B1384="","",B1384-B1383)</f>
        <v/>
      </c>
    </row>
    <row r="1385">
      <c r="G1385">
        <f>IF(C1385="","",C1385*$N$5)</f>
        <v/>
      </c>
      <c r="H1385">
        <f>IF(C1385="","",AVERAGE(C1382:C1385)*$N$5)</f>
        <v/>
      </c>
      <c r="I1385">
        <f>IF(C1385="","",AVERAGE(C1370:C1385)*$N$5)</f>
        <v/>
      </c>
      <c r="J1385">
        <f>IF(C1385="","",J1384+$N$6*(C1385*$N$5-J1384))</f>
        <v/>
      </c>
      <c r="K1385">
        <f>IF(B1385="","",B1385-B1384)</f>
        <v/>
      </c>
    </row>
    <row r="1386">
      <c r="G1386">
        <f>IF(C1386="","",C1386*$N$5)</f>
        <v/>
      </c>
      <c r="H1386">
        <f>IF(C1386="","",AVERAGE(C1383:C1386)*$N$5)</f>
        <v/>
      </c>
      <c r="I1386">
        <f>IF(C1386="","",AVERAGE(C1371:C1386)*$N$5)</f>
        <v/>
      </c>
      <c r="J1386">
        <f>IF(C1386="","",J1385+$N$6*(C1386*$N$5-J1385))</f>
        <v/>
      </c>
      <c r="K1386">
        <f>IF(B1386="","",B1386-B1385)</f>
        <v/>
      </c>
    </row>
    <row r="1387">
      <c r="G1387">
        <f>IF(C1387="","",C1387*$N$5)</f>
        <v/>
      </c>
      <c r="H1387">
        <f>IF(C1387="","",AVERAGE(C1384:C1387)*$N$5)</f>
        <v/>
      </c>
      <c r="I1387">
        <f>IF(C1387="","",AVERAGE(C1372:C1387)*$N$5)</f>
        <v/>
      </c>
      <c r="J1387">
        <f>IF(C1387="","",J1386+$N$6*(C1387*$N$5-J1386))</f>
        <v/>
      </c>
      <c r="K1387">
        <f>IF(B1387="","",B1387-B1386)</f>
        <v/>
      </c>
    </row>
    <row r="1388">
      <c r="G1388">
        <f>IF(C1388="","",C1388*$N$5)</f>
        <v/>
      </c>
      <c r="H1388">
        <f>IF(C1388="","",AVERAGE(C1385:C1388)*$N$5)</f>
        <v/>
      </c>
      <c r="I1388">
        <f>IF(C1388="","",AVERAGE(C1373:C1388)*$N$5)</f>
        <v/>
      </c>
      <c r="J1388">
        <f>IF(C1388="","",J1387+$N$6*(C1388*$N$5-J1387))</f>
        <v/>
      </c>
      <c r="K1388">
        <f>IF(B1388="","",B1388-B1387)</f>
        <v/>
      </c>
    </row>
    <row r="1389">
      <c r="G1389">
        <f>IF(C1389="","",C1389*$N$5)</f>
        <v/>
      </c>
      <c r="H1389">
        <f>IF(C1389="","",AVERAGE(C1386:C1389)*$N$5)</f>
        <v/>
      </c>
      <c r="I1389">
        <f>IF(C1389="","",AVERAGE(C1374:C1389)*$N$5)</f>
        <v/>
      </c>
      <c r="J1389">
        <f>IF(C1389="","",J1388+$N$6*(C1389*$N$5-J1388))</f>
        <v/>
      </c>
      <c r="K1389">
        <f>IF(B1389="","",B1389-B1388)</f>
        <v/>
      </c>
    </row>
    <row r="1390">
      <c r="G1390">
        <f>IF(C1390="","",C1390*$N$5)</f>
        <v/>
      </c>
      <c r="H1390">
        <f>IF(C1390="","",AVERAGE(C1387:C1390)*$N$5)</f>
        <v/>
      </c>
      <c r="I1390">
        <f>IF(C1390="","",AVERAGE(C1375:C1390)*$N$5)</f>
        <v/>
      </c>
      <c r="J1390">
        <f>IF(C1390="","",J1389+$N$6*(C1390*$N$5-J1389))</f>
        <v/>
      </c>
      <c r="K1390">
        <f>IF(B1390="","",B1390-B1389)</f>
        <v/>
      </c>
    </row>
    <row r="1391">
      <c r="G1391">
        <f>IF(C1391="","",C1391*$N$5)</f>
        <v/>
      </c>
      <c r="H1391">
        <f>IF(C1391="","",AVERAGE(C1388:C1391)*$N$5)</f>
        <v/>
      </c>
      <c r="I1391">
        <f>IF(C1391="","",AVERAGE(C1376:C1391)*$N$5)</f>
        <v/>
      </c>
      <c r="J1391">
        <f>IF(C1391="","",J1390+$N$6*(C1391*$N$5-J1390))</f>
        <v/>
      </c>
      <c r="K1391">
        <f>IF(B1391="","",B1391-B1390)</f>
        <v/>
      </c>
    </row>
    <row r="1392">
      <c r="G1392">
        <f>IF(C1392="","",C1392*$N$5)</f>
        <v/>
      </c>
      <c r="H1392">
        <f>IF(C1392="","",AVERAGE(C1389:C1392)*$N$5)</f>
        <v/>
      </c>
      <c r="I1392">
        <f>IF(C1392="","",AVERAGE(C1377:C1392)*$N$5)</f>
        <v/>
      </c>
      <c r="J1392">
        <f>IF(C1392="","",J1391+$N$6*(C1392*$N$5-J1391))</f>
        <v/>
      </c>
      <c r="K1392">
        <f>IF(B1392="","",B1392-B1391)</f>
        <v/>
      </c>
    </row>
    <row r="1393">
      <c r="G1393">
        <f>IF(C1393="","",C1393*$N$5)</f>
        <v/>
      </c>
      <c r="H1393">
        <f>IF(C1393="","",AVERAGE(C1390:C1393)*$N$5)</f>
        <v/>
      </c>
      <c r="I1393">
        <f>IF(C1393="","",AVERAGE(C1378:C1393)*$N$5)</f>
        <v/>
      </c>
      <c r="J1393">
        <f>IF(C1393="","",J1392+$N$6*(C1393*$N$5-J1392))</f>
        <v/>
      </c>
      <c r="K1393">
        <f>IF(B1393="","",B1393-B1392)</f>
        <v/>
      </c>
    </row>
    <row r="1394">
      <c r="G1394">
        <f>IF(C1394="","",C1394*$N$5)</f>
        <v/>
      </c>
      <c r="H1394">
        <f>IF(C1394="","",AVERAGE(C1391:C1394)*$N$5)</f>
        <v/>
      </c>
      <c r="I1394">
        <f>IF(C1394="","",AVERAGE(C1379:C1394)*$N$5)</f>
        <v/>
      </c>
      <c r="J1394">
        <f>IF(C1394="","",J1393+$N$6*(C1394*$N$5-J1393))</f>
        <v/>
      </c>
      <c r="K1394">
        <f>IF(B1394="","",B1394-B1393)</f>
        <v/>
      </c>
    </row>
    <row r="1395">
      <c r="G1395">
        <f>IF(C1395="","",C1395*$N$5)</f>
        <v/>
      </c>
      <c r="H1395">
        <f>IF(C1395="","",AVERAGE(C1392:C1395)*$N$5)</f>
        <v/>
      </c>
      <c r="I1395">
        <f>IF(C1395="","",AVERAGE(C1380:C1395)*$N$5)</f>
        <v/>
      </c>
      <c r="J1395">
        <f>IF(C1395="","",J1394+$N$6*(C1395*$N$5-J1394))</f>
        <v/>
      </c>
      <c r="K1395">
        <f>IF(B1395="","",B1395-B1394)</f>
        <v/>
      </c>
    </row>
    <row r="1396">
      <c r="G1396">
        <f>IF(C1396="","",C1396*$N$5)</f>
        <v/>
      </c>
      <c r="H1396">
        <f>IF(C1396="","",AVERAGE(C1393:C1396)*$N$5)</f>
        <v/>
      </c>
      <c r="I1396">
        <f>IF(C1396="","",AVERAGE(C1381:C1396)*$N$5)</f>
        <v/>
      </c>
      <c r="J1396">
        <f>IF(C1396="","",J1395+$N$6*(C1396*$N$5-J1395))</f>
        <v/>
      </c>
      <c r="K1396">
        <f>IF(B1396="","",B1396-B1395)</f>
        <v/>
      </c>
    </row>
    <row r="1397">
      <c r="G1397">
        <f>IF(C1397="","",C1397*$N$5)</f>
        <v/>
      </c>
      <c r="H1397">
        <f>IF(C1397="","",AVERAGE(C1394:C1397)*$N$5)</f>
        <v/>
      </c>
      <c r="I1397">
        <f>IF(C1397="","",AVERAGE(C1382:C1397)*$N$5)</f>
        <v/>
      </c>
      <c r="J1397">
        <f>IF(C1397="","",J1396+$N$6*(C1397*$N$5-J1396))</f>
        <v/>
      </c>
      <c r="K1397">
        <f>IF(B1397="","",B1397-B1396)</f>
        <v/>
      </c>
    </row>
    <row r="1398">
      <c r="G1398">
        <f>IF(C1398="","",C1398*$N$5)</f>
        <v/>
      </c>
      <c r="H1398">
        <f>IF(C1398="","",AVERAGE(C1395:C1398)*$N$5)</f>
        <v/>
      </c>
      <c r="I1398">
        <f>IF(C1398="","",AVERAGE(C1383:C1398)*$N$5)</f>
        <v/>
      </c>
      <c r="J1398">
        <f>IF(C1398="","",J1397+$N$6*(C1398*$N$5-J1397))</f>
        <v/>
      </c>
      <c r="K1398">
        <f>IF(B1398="","",B1398-B1397)</f>
        <v/>
      </c>
    </row>
    <row r="1399">
      <c r="G1399">
        <f>IF(C1399="","",C1399*$N$5)</f>
        <v/>
      </c>
      <c r="H1399">
        <f>IF(C1399="","",AVERAGE(C1396:C1399)*$N$5)</f>
        <v/>
      </c>
      <c r="I1399">
        <f>IF(C1399="","",AVERAGE(C1384:C1399)*$N$5)</f>
        <v/>
      </c>
      <c r="J1399">
        <f>IF(C1399="","",J1398+$N$6*(C1399*$N$5-J1398))</f>
        <v/>
      </c>
      <c r="K1399">
        <f>IF(B1399="","",B1399-B1398)</f>
        <v/>
      </c>
    </row>
    <row r="1400">
      <c r="G1400">
        <f>IF(C1400="","",C1400*$N$5)</f>
        <v/>
      </c>
      <c r="H1400">
        <f>IF(C1400="","",AVERAGE(C1397:C1400)*$N$5)</f>
        <v/>
      </c>
      <c r="I1400">
        <f>IF(C1400="","",AVERAGE(C1385:C1400)*$N$5)</f>
        <v/>
      </c>
      <c r="J1400">
        <f>IF(C1400="","",J1399+$N$6*(C1400*$N$5-J1399))</f>
        <v/>
      </c>
      <c r="K1400">
        <f>IF(B1400="","",B1400-B1399)</f>
        <v/>
      </c>
    </row>
    <row r="1401">
      <c r="G1401">
        <f>IF(C1401="","",C1401*$N$5)</f>
        <v/>
      </c>
      <c r="H1401">
        <f>IF(C1401="","",AVERAGE(C1398:C1401)*$N$5)</f>
        <v/>
      </c>
      <c r="I1401">
        <f>IF(C1401="","",AVERAGE(C1386:C1401)*$N$5)</f>
        <v/>
      </c>
      <c r="J1401">
        <f>IF(C1401="","",J1400+$N$6*(C1401*$N$5-J1400))</f>
        <v/>
      </c>
      <c r="K1401">
        <f>IF(B1401="","",B1401-B1400)</f>
        <v/>
      </c>
    </row>
    <row r="1402">
      <c r="G1402">
        <f>IF(C1402="","",C1402*$N$5)</f>
        <v/>
      </c>
      <c r="H1402">
        <f>IF(C1402="","",AVERAGE(C1399:C1402)*$N$5)</f>
        <v/>
      </c>
      <c r="I1402">
        <f>IF(C1402="","",AVERAGE(C1387:C1402)*$N$5)</f>
        <v/>
      </c>
      <c r="J1402">
        <f>IF(C1402="","",J1401+$N$6*(C1402*$N$5-J1401))</f>
        <v/>
      </c>
      <c r="K1402">
        <f>IF(B1402="","",B1402-B1401)</f>
        <v/>
      </c>
    </row>
    <row r="1403">
      <c r="G1403">
        <f>IF(C1403="","",C1403*$N$5)</f>
        <v/>
      </c>
      <c r="H1403">
        <f>IF(C1403="","",AVERAGE(C1400:C1403)*$N$5)</f>
        <v/>
      </c>
      <c r="I1403">
        <f>IF(C1403="","",AVERAGE(C1388:C1403)*$N$5)</f>
        <v/>
      </c>
      <c r="J1403">
        <f>IF(C1403="","",J1402+$N$6*(C1403*$N$5-J1402))</f>
        <v/>
      </c>
      <c r="K1403">
        <f>IF(B1403="","",B1403-B1402)</f>
        <v/>
      </c>
    </row>
    <row r="1404">
      <c r="G1404">
        <f>IF(C1404="","",C1404*$N$5)</f>
        <v/>
      </c>
      <c r="H1404">
        <f>IF(C1404="","",AVERAGE(C1401:C1404)*$N$5)</f>
        <v/>
      </c>
      <c r="I1404">
        <f>IF(C1404="","",AVERAGE(C1389:C1404)*$N$5)</f>
        <v/>
      </c>
      <c r="J1404">
        <f>IF(C1404="","",J1403+$N$6*(C1404*$N$5-J1403))</f>
        <v/>
      </c>
      <c r="K1404">
        <f>IF(B1404="","",B1404-B1403)</f>
        <v/>
      </c>
    </row>
    <row r="1405">
      <c r="G1405">
        <f>IF(C1405="","",C1405*$N$5)</f>
        <v/>
      </c>
      <c r="H1405">
        <f>IF(C1405="","",AVERAGE(C1402:C1405)*$N$5)</f>
        <v/>
      </c>
      <c r="I1405">
        <f>IF(C1405="","",AVERAGE(C1390:C1405)*$N$5)</f>
        <v/>
      </c>
      <c r="J1405">
        <f>IF(C1405="","",J1404+$N$6*(C1405*$N$5-J1404))</f>
        <v/>
      </c>
      <c r="K1405">
        <f>IF(B1405="","",B1405-B1404)</f>
        <v/>
      </c>
    </row>
    <row r="1406">
      <c r="G1406">
        <f>IF(C1406="","",C1406*$N$5)</f>
        <v/>
      </c>
      <c r="H1406">
        <f>IF(C1406="","",AVERAGE(C1403:C1406)*$N$5)</f>
        <v/>
      </c>
      <c r="I1406">
        <f>IF(C1406="","",AVERAGE(C1391:C1406)*$N$5)</f>
        <v/>
      </c>
      <c r="J1406">
        <f>IF(C1406="","",J1405+$N$6*(C1406*$N$5-J1405))</f>
        <v/>
      </c>
      <c r="K1406">
        <f>IF(B1406="","",B1406-B1405)</f>
        <v/>
      </c>
    </row>
    <row r="1407">
      <c r="G1407">
        <f>IF(C1407="","",C1407*$N$5)</f>
        <v/>
      </c>
      <c r="H1407">
        <f>IF(C1407="","",AVERAGE(C1404:C1407)*$N$5)</f>
        <v/>
      </c>
      <c r="I1407">
        <f>IF(C1407="","",AVERAGE(C1392:C1407)*$N$5)</f>
        <v/>
      </c>
      <c r="J1407">
        <f>IF(C1407="","",J1406+$N$6*(C1407*$N$5-J1406))</f>
        <v/>
      </c>
      <c r="K1407">
        <f>IF(B1407="","",B1407-B1406)</f>
        <v/>
      </c>
    </row>
    <row r="1408">
      <c r="G1408">
        <f>IF(C1408="","",C1408*$N$5)</f>
        <v/>
      </c>
      <c r="H1408">
        <f>IF(C1408="","",AVERAGE(C1405:C1408)*$N$5)</f>
        <v/>
      </c>
      <c r="I1408">
        <f>IF(C1408="","",AVERAGE(C1393:C1408)*$N$5)</f>
        <v/>
      </c>
      <c r="J1408">
        <f>IF(C1408="","",J1407+$N$6*(C1408*$N$5-J1407))</f>
        <v/>
      </c>
      <c r="K1408">
        <f>IF(B1408="","",B1408-B1407)</f>
        <v/>
      </c>
    </row>
    <row r="1409">
      <c r="G1409">
        <f>IF(C1409="","",C1409*$N$5)</f>
        <v/>
      </c>
      <c r="H1409">
        <f>IF(C1409="","",AVERAGE(C1406:C1409)*$N$5)</f>
        <v/>
      </c>
      <c r="I1409">
        <f>IF(C1409="","",AVERAGE(C1394:C1409)*$N$5)</f>
        <v/>
      </c>
      <c r="J1409">
        <f>IF(C1409="","",J1408+$N$6*(C1409*$N$5-J1408))</f>
        <v/>
      </c>
      <c r="K1409">
        <f>IF(B1409="","",B1409-B1408)</f>
        <v/>
      </c>
    </row>
    <row r="1410">
      <c r="G1410">
        <f>IF(C1410="","",C1410*$N$5)</f>
        <v/>
      </c>
      <c r="H1410">
        <f>IF(C1410="","",AVERAGE(C1407:C1410)*$N$5)</f>
        <v/>
      </c>
      <c r="I1410">
        <f>IF(C1410="","",AVERAGE(C1395:C1410)*$N$5)</f>
        <v/>
      </c>
      <c r="J1410">
        <f>IF(C1410="","",J1409+$N$6*(C1410*$N$5-J1409))</f>
        <v/>
      </c>
      <c r="K1410">
        <f>IF(B1410="","",B1410-B1409)</f>
        <v/>
      </c>
    </row>
    <row r="1411">
      <c r="G1411">
        <f>IF(C1411="","",C1411*$N$5)</f>
        <v/>
      </c>
      <c r="H1411">
        <f>IF(C1411="","",AVERAGE(C1408:C1411)*$N$5)</f>
        <v/>
      </c>
      <c r="I1411">
        <f>IF(C1411="","",AVERAGE(C1396:C1411)*$N$5)</f>
        <v/>
      </c>
      <c r="J1411">
        <f>IF(C1411="","",J1410+$N$6*(C1411*$N$5-J1410))</f>
        <v/>
      </c>
      <c r="K1411">
        <f>IF(B1411="","",B1411-B1410)</f>
        <v/>
      </c>
    </row>
    <row r="1412">
      <c r="G1412">
        <f>IF(C1412="","",C1412*$N$5)</f>
        <v/>
      </c>
      <c r="H1412">
        <f>IF(C1412="","",AVERAGE(C1409:C1412)*$N$5)</f>
        <v/>
      </c>
      <c r="I1412">
        <f>IF(C1412="","",AVERAGE(C1397:C1412)*$N$5)</f>
        <v/>
      </c>
      <c r="J1412">
        <f>IF(C1412="","",J1411+$N$6*(C1412*$N$5-J1411))</f>
        <v/>
      </c>
      <c r="K1412">
        <f>IF(B1412="","",B1412-B1411)</f>
        <v/>
      </c>
    </row>
    <row r="1413">
      <c r="G1413">
        <f>IF(C1413="","",C1413*$N$5)</f>
        <v/>
      </c>
      <c r="H1413">
        <f>IF(C1413="","",AVERAGE(C1410:C1413)*$N$5)</f>
        <v/>
      </c>
      <c r="I1413">
        <f>IF(C1413="","",AVERAGE(C1398:C1413)*$N$5)</f>
        <v/>
      </c>
      <c r="J1413">
        <f>IF(C1413="","",J1412+$N$6*(C1413*$N$5-J1412))</f>
        <v/>
      </c>
      <c r="K1413">
        <f>IF(B1413="","",B1413-B1412)</f>
        <v/>
      </c>
    </row>
    <row r="1414">
      <c r="G1414">
        <f>IF(C1414="","",C1414*$N$5)</f>
        <v/>
      </c>
      <c r="H1414">
        <f>IF(C1414="","",AVERAGE(C1411:C1414)*$N$5)</f>
        <v/>
      </c>
      <c r="I1414">
        <f>IF(C1414="","",AVERAGE(C1399:C1414)*$N$5)</f>
        <v/>
      </c>
      <c r="J1414">
        <f>IF(C1414="","",J1413+$N$6*(C1414*$N$5-J1413))</f>
        <v/>
      </c>
      <c r="K1414">
        <f>IF(B1414="","",B1414-B1413)</f>
        <v/>
      </c>
    </row>
    <row r="1415">
      <c r="G1415">
        <f>IF(C1415="","",C1415*$N$5)</f>
        <v/>
      </c>
      <c r="H1415">
        <f>IF(C1415="","",AVERAGE(C1412:C1415)*$N$5)</f>
        <v/>
      </c>
      <c r="I1415">
        <f>IF(C1415="","",AVERAGE(C1400:C1415)*$N$5)</f>
        <v/>
      </c>
      <c r="J1415">
        <f>IF(C1415="","",J1414+$N$6*(C1415*$N$5-J1414))</f>
        <v/>
      </c>
      <c r="K1415">
        <f>IF(B1415="","",B1415-B1414)</f>
        <v/>
      </c>
    </row>
    <row r="1416">
      <c r="G1416">
        <f>IF(C1416="","",C1416*$N$5)</f>
        <v/>
      </c>
      <c r="H1416">
        <f>IF(C1416="","",AVERAGE(C1413:C1416)*$N$5)</f>
        <v/>
      </c>
      <c r="I1416">
        <f>IF(C1416="","",AVERAGE(C1401:C1416)*$N$5)</f>
        <v/>
      </c>
      <c r="J1416">
        <f>IF(C1416="","",J1415+$N$6*(C1416*$N$5-J1415))</f>
        <v/>
      </c>
      <c r="K1416">
        <f>IF(B1416="","",B1416-B1415)</f>
        <v/>
      </c>
    </row>
    <row r="1417">
      <c r="G1417">
        <f>IF(C1417="","",C1417*$N$5)</f>
        <v/>
      </c>
      <c r="H1417">
        <f>IF(C1417="","",AVERAGE(C1414:C1417)*$N$5)</f>
        <v/>
      </c>
      <c r="I1417">
        <f>IF(C1417="","",AVERAGE(C1402:C1417)*$N$5)</f>
        <v/>
      </c>
      <c r="J1417">
        <f>IF(C1417="","",J1416+$N$6*(C1417*$N$5-J1416))</f>
        <v/>
      </c>
      <c r="K1417">
        <f>IF(B1417="","",B1417-B1416)</f>
        <v/>
      </c>
    </row>
    <row r="1418">
      <c r="G1418">
        <f>IF(C1418="","",C1418*$N$5)</f>
        <v/>
      </c>
      <c r="H1418">
        <f>IF(C1418="","",AVERAGE(C1415:C1418)*$N$5)</f>
        <v/>
      </c>
      <c r="I1418">
        <f>IF(C1418="","",AVERAGE(C1403:C1418)*$N$5)</f>
        <v/>
      </c>
      <c r="J1418">
        <f>IF(C1418="","",J1417+$N$6*(C1418*$N$5-J1417))</f>
        <v/>
      </c>
      <c r="K1418">
        <f>IF(B1418="","",B1418-B1417)</f>
        <v/>
      </c>
    </row>
    <row r="1419">
      <c r="G1419">
        <f>IF(C1419="","",C1419*$N$5)</f>
        <v/>
      </c>
      <c r="H1419">
        <f>IF(C1419="","",AVERAGE(C1416:C1419)*$N$5)</f>
        <v/>
      </c>
      <c r="I1419">
        <f>IF(C1419="","",AVERAGE(C1404:C1419)*$N$5)</f>
        <v/>
      </c>
      <c r="J1419">
        <f>IF(C1419="","",J1418+$N$6*(C1419*$N$5-J1418))</f>
        <v/>
      </c>
      <c r="K1419">
        <f>IF(B1419="","",B1419-B1418)</f>
        <v/>
      </c>
    </row>
    <row r="1420">
      <c r="G1420">
        <f>IF(C1420="","",C1420*$N$5)</f>
        <v/>
      </c>
      <c r="H1420">
        <f>IF(C1420="","",AVERAGE(C1417:C1420)*$N$5)</f>
        <v/>
      </c>
      <c r="I1420">
        <f>IF(C1420="","",AVERAGE(C1405:C1420)*$N$5)</f>
        <v/>
      </c>
      <c r="J1420">
        <f>IF(C1420="","",J1419+$N$6*(C1420*$N$5-J1419))</f>
        <v/>
      </c>
      <c r="K1420">
        <f>IF(B1420="","",B1420-B1419)</f>
        <v/>
      </c>
    </row>
    <row r="1421">
      <c r="G1421">
        <f>IF(C1421="","",C1421*$N$5)</f>
        <v/>
      </c>
      <c r="H1421">
        <f>IF(C1421="","",AVERAGE(C1418:C1421)*$N$5)</f>
        <v/>
      </c>
      <c r="I1421">
        <f>IF(C1421="","",AVERAGE(C1406:C1421)*$N$5)</f>
        <v/>
      </c>
      <c r="J1421">
        <f>IF(C1421="","",J1420+$N$6*(C1421*$N$5-J1420))</f>
        <v/>
      </c>
      <c r="K1421">
        <f>IF(B1421="","",B1421-B1420)</f>
        <v/>
      </c>
    </row>
    <row r="1422">
      <c r="G1422">
        <f>IF(C1422="","",C1422*$N$5)</f>
        <v/>
      </c>
      <c r="H1422">
        <f>IF(C1422="","",AVERAGE(C1419:C1422)*$N$5)</f>
        <v/>
      </c>
      <c r="I1422">
        <f>IF(C1422="","",AVERAGE(C1407:C1422)*$N$5)</f>
        <v/>
      </c>
      <c r="J1422">
        <f>IF(C1422="","",J1421+$N$6*(C1422*$N$5-J1421))</f>
        <v/>
      </c>
      <c r="K1422">
        <f>IF(B1422="","",B1422-B1421)</f>
        <v/>
      </c>
    </row>
    <row r="1423">
      <c r="G1423">
        <f>IF(C1423="","",C1423*$N$5)</f>
        <v/>
      </c>
      <c r="H1423">
        <f>IF(C1423="","",AVERAGE(C1420:C1423)*$N$5)</f>
        <v/>
      </c>
      <c r="I1423">
        <f>IF(C1423="","",AVERAGE(C1408:C1423)*$N$5)</f>
        <v/>
      </c>
      <c r="J1423">
        <f>IF(C1423="","",J1422+$N$6*(C1423*$N$5-J1422))</f>
        <v/>
      </c>
      <c r="K1423">
        <f>IF(B1423="","",B1423-B1422)</f>
        <v/>
      </c>
    </row>
    <row r="1424">
      <c r="G1424">
        <f>IF(C1424="","",C1424*$N$5)</f>
        <v/>
      </c>
      <c r="H1424">
        <f>IF(C1424="","",AVERAGE(C1421:C1424)*$N$5)</f>
        <v/>
      </c>
      <c r="I1424">
        <f>IF(C1424="","",AVERAGE(C1409:C1424)*$N$5)</f>
        <v/>
      </c>
      <c r="J1424">
        <f>IF(C1424="","",J1423+$N$6*(C1424*$N$5-J1423))</f>
        <v/>
      </c>
      <c r="K1424">
        <f>IF(B1424="","",B1424-B1423)</f>
        <v/>
      </c>
    </row>
    <row r="1425">
      <c r="G1425">
        <f>IF(C1425="","",C1425*$N$5)</f>
        <v/>
      </c>
      <c r="H1425">
        <f>IF(C1425="","",AVERAGE(C1422:C1425)*$N$5)</f>
        <v/>
      </c>
      <c r="I1425">
        <f>IF(C1425="","",AVERAGE(C1410:C1425)*$N$5)</f>
        <v/>
      </c>
      <c r="J1425">
        <f>IF(C1425="","",J1424+$N$6*(C1425*$N$5-J1424))</f>
        <v/>
      </c>
      <c r="K1425">
        <f>IF(B1425="","",B1425-B1424)</f>
        <v/>
      </c>
    </row>
    <row r="1426">
      <c r="G1426">
        <f>IF(C1426="","",C1426*$N$5)</f>
        <v/>
      </c>
      <c r="H1426">
        <f>IF(C1426="","",AVERAGE(C1423:C1426)*$N$5)</f>
        <v/>
      </c>
      <c r="I1426">
        <f>IF(C1426="","",AVERAGE(C1411:C1426)*$N$5)</f>
        <v/>
      </c>
      <c r="J1426">
        <f>IF(C1426="","",J1425+$N$6*(C1426*$N$5-J1425))</f>
        <v/>
      </c>
      <c r="K1426">
        <f>IF(B1426="","",B1426-B1425)</f>
        <v/>
      </c>
    </row>
    <row r="1427">
      <c r="G1427">
        <f>IF(C1427="","",C1427*$N$5)</f>
        <v/>
      </c>
      <c r="H1427">
        <f>IF(C1427="","",AVERAGE(C1424:C1427)*$N$5)</f>
        <v/>
      </c>
      <c r="I1427">
        <f>IF(C1427="","",AVERAGE(C1412:C1427)*$N$5)</f>
        <v/>
      </c>
      <c r="J1427">
        <f>IF(C1427="","",J1426+$N$6*(C1427*$N$5-J1426))</f>
        <v/>
      </c>
      <c r="K1427">
        <f>IF(B1427="","",B1427-B1426)</f>
        <v/>
      </c>
    </row>
    <row r="1428">
      <c r="G1428">
        <f>IF(C1428="","",C1428*$N$5)</f>
        <v/>
      </c>
      <c r="H1428">
        <f>IF(C1428="","",AVERAGE(C1425:C1428)*$N$5)</f>
        <v/>
      </c>
      <c r="I1428">
        <f>IF(C1428="","",AVERAGE(C1413:C1428)*$N$5)</f>
        <v/>
      </c>
      <c r="J1428">
        <f>IF(C1428="","",J1427+$N$6*(C1428*$N$5-J1427))</f>
        <v/>
      </c>
      <c r="K1428">
        <f>IF(B1428="","",B1428-B1427)</f>
        <v/>
      </c>
    </row>
    <row r="1429">
      <c r="G1429">
        <f>IF(C1429="","",C1429*$N$5)</f>
        <v/>
      </c>
      <c r="H1429">
        <f>IF(C1429="","",AVERAGE(C1426:C1429)*$N$5)</f>
        <v/>
      </c>
      <c r="I1429">
        <f>IF(C1429="","",AVERAGE(C1414:C1429)*$N$5)</f>
        <v/>
      </c>
      <c r="J1429">
        <f>IF(C1429="","",J1428+$N$6*(C1429*$N$5-J1428))</f>
        <v/>
      </c>
      <c r="K1429">
        <f>IF(B1429="","",B1429-B1428)</f>
        <v/>
      </c>
    </row>
    <row r="1430">
      <c r="G1430">
        <f>IF(C1430="","",C1430*$N$5)</f>
        <v/>
      </c>
      <c r="H1430">
        <f>IF(C1430="","",AVERAGE(C1427:C1430)*$N$5)</f>
        <v/>
      </c>
      <c r="I1430">
        <f>IF(C1430="","",AVERAGE(C1415:C1430)*$N$5)</f>
        <v/>
      </c>
      <c r="J1430">
        <f>IF(C1430="","",J1429+$N$6*(C1430*$N$5-J1429))</f>
        <v/>
      </c>
      <c r="K1430">
        <f>IF(B1430="","",B1430-B1429)</f>
        <v/>
      </c>
    </row>
    <row r="1431">
      <c r="G1431">
        <f>IF(C1431="","",C1431*$N$5)</f>
        <v/>
      </c>
      <c r="H1431">
        <f>IF(C1431="","",AVERAGE(C1428:C1431)*$N$5)</f>
        <v/>
      </c>
      <c r="I1431">
        <f>IF(C1431="","",AVERAGE(C1416:C1431)*$N$5)</f>
        <v/>
      </c>
      <c r="J1431">
        <f>IF(C1431="","",J1430+$N$6*(C1431*$N$5-J1430))</f>
        <v/>
      </c>
      <c r="K1431">
        <f>IF(B1431="","",B1431-B1430)</f>
        <v/>
      </c>
    </row>
    <row r="1432">
      <c r="G1432">
        <f>IF(C1432="","",C1432*$N$5)</f>
        <v/>
      </c>
      <c r="H1432">
        <f>IF(C1432="","",AVERAGE(C1429:C1432)*$N$5)</f>
        <v/>
      </c>
      <c r="I1432">
        <f>IF(C1432="","",AVERAGE(C1417:C1432)*$N$5)</f>
        <v/>
      </c>
      <c r="J1432">
        <f>IF(C1432="","",J1431+$N$6*(C1432*$N$5-J1431))</f>
        <v/>
      </c>
      <c r="K1432">
        <f>IF(B1432="","",B1432-B1431)</f>
        <v/>
      </c>
    </row>
    <row r="1433">
      <c r="G1433">
        <f>IF(C1433="","",C1433*$N$5)</f>
        <v/>
      </c>
      <c r="H1433">
        <f>IF(C1433="","",AVERAGE(C1430:C1433)*$N$5)</f>
        <v/>
      </c>
      <c r="I1433">
        <f>IF(C1433="","",AVERAGE(C1418:C1433)*$N$5)</f>
        <v/>
      </c>
      <c r="J1433">
        <f>IF(C1433="","",J1432+$N$6*(C1433*$N$5-J1432))</f>
        <v/>
      </c>
      <c r="K1433">
        <f>IF(B1433="","",B1433-B1432)</f>
        <v/>
      </c>
    </row>
    <row r="1434">
      <c r="G1434">
        <f>IF(C1434="","",C1434*$N$5)</f>
        <v/>
      </c>
      <c r="H1434">
        <f>IF(C1434="","",AVERAGE(C1431:C1434)*$N$5)</f>
        <v/>
      </c>
      <c r="I1434">
        <f>IF(C1434="","",AVERAGE(C1419:C1434)*$N$5)</f>
        <v/>
      </c>
      <c r="J1434">
        <f>IF(C1434="","",J1433+$N$6*(C1434*$N$5-J1433))</f>
        <v/>
      </c>
      <c r="K1434">
        <f>IF(B1434="","",B1434-B1433)</f>
        <v/>
      </c>
    </row>
    <row r="1435">
      <c r="G1435">
        <f>IF(C1435="","",C1435*$N$5)</f>
        <v/>
      </c>
      <c r="H1435">
        <f>IF(C1435="","",AVERAGE(C1432:C1435)*$N$5)</f>
        <v/>
      </c>
      <c r="I1435">
        <f>IF(C1435="","",AVERAGE(C1420:C1435)*$N$5)</f>
        <v/>
      </c>
      <c r="J1435">
        <f>IF(C1435="","",J1434+$N$6*(C1435*$N$5-J1434))</f>
        <v/>
      </c>
      <c r="K1435">
        <f>IF(B1435="","",B1435-B1434)</f>
        <v/>
      </c>
    </row>
    <row r="1436">
      <c r="G1436">
        <f>IF(C1436="","",C1436*$N$5)</f>
        <v/>
      </c>
      <c r="H1436">
        <f>IF(C1436="","",AVERAGE(C1433:C1436)*$N$5)</f>
        <v/>
      </c>
      <c r="I1436">
        <f>IF(C1436="","",AVERAGE(C1421:C1436)*$N$5)</f>
        <v/>
      </c>
      <c r="J1436">
        <f>IF(C1436="","",J1435+$N$6*(C1436*$N$5-J1435))</f>
        <v/>
      </c>
      <c r="K1436">
        <f>IF(B1436="","",B1436-B1435)</f>
        <v/>
      </c>
    </row>
    <row r="1437">
      <c r="G1437">
        <f>IF(C1437="","",C1437*$N$5)</f>
        <v/>
      </c>
      <c r="H1437">
        <f>IF(C1437="","",AVERAGE(C1434:C1437)*$N$5)</f>
        <v/>
      </c>
      <c r="I1437">
        <f>IF(C1437="","",AVERAGE(C1422:C1437)*$N$5)</f>
        <v/>
      </c>
      <c r="J1437">
        <f>IF(C1437="","",J1436+$N$6*(C1437*$N$5-J1436))</f>
        <v/>
      </c>
      <c r="K1437">
        <f>IF(B1437="","",B1437-B1436)</f>
        <v/>
      </c>
    </row>
    <row r="1438">
      <c r="G1438">
        <f>IF(C1438="","",C1438*$N$5)</f>
        <v/>
      </c>
      <c r="H1438">
        <f>IF(C1438="","",AVERAGE(C1435:C1438)*$N$5)</f>
        <v/>
      </c>
      <c r="I1438">
        <f>IF(C1438="","",AVERAGE(C1423:C1438)*$N$5)</f>
        <v/>
      </c>
      <c r="J1438">
        <f>IF(C1438="","",J1437+$N$6*(C1438*$N$5-J1437))</f>
        <v/>
      </c>
      <c r="K1438">
        <f>IF(B1438="","",B1438-B1437)</f>
        <v/>
      </c>
    </row>
    <row r="1439">
      <c r="G1439">
        <f>IF(C1439="","",C1439*$N$5)</f>
        <v/>
      </c>
      <c r="H1439">
        <f>IF(C1439="","",AVERAGE(C1436:C1439)*$N$5)</f>
        <v/>
      </c>
      <c r="I1439">
        <f>IF(C1439="","",AVERAGE(C1424:C1439)*$N$5)</f>
        <v/>
      </c>
      <c r="J1439">
        <f>IF(C1439="","",J1438+$N$6*(C1439*$N$5-J1438))</f>
        <v/>
      </c>
      <c r="K1439">
        <f>IF(B1439="","",B1439-B1438)</f>
        <v/>
      </c>
    </row>
    <row r="1440">
      <c r="G1440">
        <f>IF(C1440="","",C1440*$N$5)</f>
        <v/>
      </c>
      <c r="H1440">
        <f>IF(C1440="","",AVERAGE(C1437:C1440)*$N$5)</f>
        <v/>
      </c>
      <c r="I1440">
        <f>IF(C1440="","",AVERAGE(C1425:C1440)*$N$5)</f>
        <v/>
      </c>
      <c r="J1440">
        <f>IF(C1440="","",J1439+$N$6*(C1440*$N$5-J1439))</f>
        <v/>
      </c>
      <c r="K1440">
        <f>IF(B1440="","",B1440-B1439)</f>
        <v/>
      </c>
    </row>
    <row r="1441">
      <c r="G1441">
        <f>IF(C1441="","",C1441*$N$5)</f>
        <v/>
      </c>
      <c r="H1441">
        <f>IF(C1441="","",AVERAGE(C1438:C1441)*$N$5)</f>
        <v/>
      </c>
      <c r="I1441">
        <f>IF(C1441="","",AVERAGE(C1426:C1441)*$N$5)</f>
        <v/>
      </c>
      <c r="J1441">
        <f>IF(C1441="","",J1440+$N$6*(C1441*$N$5-J1440))</f>
        <v/>
      </c>
      <c r="K1441">
        <f>IF(B1441="","",B1441-B1440)</f>
        <v/>
      </c>
    </row>
    <row r="1442">
      <c r="G1442">
        <f>IF(C1442="","",C1442*$N$5)</f>
        <v/>
      </c>
      <c r="H1442">
        <f>IF(C1442="","",AVERAGE(C1439:C1442)*$N$5)</f>
        <v/>
      </c>
      <c r="I1442">
        <f>IF(C1442="","",AVERAGE(C1427:C1442)*$N$5)</f>
        <v/>
      </c>
      <c r="J1442">
        <f>IF(C1442="","",J1441+$N$6*(C1442*$N$5-J1441))</f>
        <v/>
      </c>
      <c r="K1442">
        <f>IF(B1442="","",B1442-B1441)</f>
        <v/>
      </c>
    </row>
    <row r="1443">
      <c r="G1443">
        <f>IF(C1443="","",C1443*$N$5)</f>
        <v/>
      </c>
      <c r="H1443">
        <f>IF(C1443="","",AVERAGE(C1440:C1443)*$N$5)</f>
        <v/>
      </c>
      <c r="I1443">
        <f>IF(C1443="","",AVERAGE(C1428:C1443)*$N$5)</f>
        <v/>
      </c>
      <c r="J1443">
        <f>IF(C1443="","",J1442+$N$6*(C1443*$N$5-J1442))</f>
        <v/>
      </c>
      <c r="K1443">
        <f>IF(B1443="","",B1443-B1442)</f>
        <v/>
      </c>
    </row>
    <row r="1444">
      <c r="G1444">
        <f>IF(C1444="","",C1444*$N$5)</f>
        <v/>
      </c>
      <c r="H1444">
        <f>IF(C1444="","",AVERAGE(C1441:C1444)*$N$5)</f>
        <v/>
      </c>
      <c r="I1444">
        <f>IF(C1444="","",AVERAGE(C1429:C1444)*$N$5)</f>
        <v/>
      </c>
      <c r="J1444">
        <f>IF(C1444="","",J1443+$N$6*(C1444*$N$5-J1443))</f>
        <v/>
      </c>
      <c r="K1444">
        <f>IF(B1444="","",B1444-B1443)</f>
        <v/>
      </c>
    </row>
    <row r="1445">
      <c r="G1445">
        <f>IF(C1445="","",C1445*$N$5)</f>
        <v/>
      </c>
      <c r="H1445">
        <f>IF(C1445="","",AVERAGE(C1442:C1445)*$N$5)</f>
        <v/>
      </c>
      <c r="I1445">
        <f>IF(C1445="","",AVERAGE(C1430:C1445)*$N$5)</f>
        <v/>
      </c>
      <c r="J1445">
        <f>IF(C1445="","",J1444+$N$6*(C1445*$N$5-J1444))</f>
        <v/>
      </c>
      <c r="K1445">
        <f>IF(B1445="","",B1445-B1444)</f>
        <v/>
      </c>
    </row>
    <row r="1446">
      <c r="G1446">
        <f>IF(C1446="","",C1446*$N$5)</f>
        <v/>
      </c>
      <c r="H1446">
        <f>IF(C1446="","",AVERAGE(C1443:C1446)*$N$5)</f>
        <v/>
      </c>
      <c r="I1446">
        <f>IF(C1446="","",AVERAGE(C1431:C1446)*$N$5)</f>
        <v/>
      </c>
      <c r="J1446">
        <f>IF(C1446="","",J1445+$N$6*(C1446*$N$5-J1445))</f>
        <v/>
      </c>
      <c r="K1446">
        <f>IF(B1446="","",B1446-B1445)</f>
        <v/>
      </c>
    </row>
    <row r="1447">
      <c r="G1447">
        <f>IF(C1447="","",C1447*$N$5)</f>
        <v/>
      </c>
      <c r="H1447">
        <f>IF(C1447="","",AVERAGE(C1444:C1447)*$N$5)</f>
        <v/>
      </c>
      <c r="I1447">
        <f>IF(C1447="","",AVERAGE(C1432:C1447)*$N$5)</f>
        <v/>
      </c>
      <c r="J1447">
        <f>IF(C1447="","",J1446+$N$6*(C1447*$N$5-J1446))</f>
        <v/>
      </c>
      <c r="K1447">
        <f>IF(B1447="","",B1447-B1446)</f>
        <v/>
      </c>
    </row>
    <row r="1448">
      <c r="G1448">
        <f>IF(C1448="","",C1448*$N$5)</f>
        <v/>
      </c>
      <c r="H1448">
        <f>IF(C1448="","",AVERAGE(C1445:C1448)*$N$5)</f>
        <v/>
      </c>
      <c r="I1448">
        <f>IF(C1448="","",AVERAGE(C1433:C1448)*$N$5)</f>
        <v/>
      </c>
      <c r="J1448">
        <f>IF(C1448="","",J1447+$N$6*(C1448*$N$5-J1447))</f>
        <v/>
      </c>
      <c r="K1448">
        <f>IF(B1448="","",B1448-B1447)</f>
        <v/>
      </c>
    </row>
    <row r="1449">
      <c r="G1449">
        <f>IF(C1449="","",C1449*$N$5)</f>
        <v/>
      </c>
      <c r="H1449">
        <f>IF(C1449="","",AVERAGE(C1446:C1449)*$N$5)</f>
        <v/>
      </c>
      <c r="I1449">
        <f>IF(C1449="","",AVERAGE(C1434:C1449)*$N$5)</f>
        <v/>
      </c>
      <c r="J1449">
        <f>IF(C1449="","",J1448+$N$6*(C1449*$N$5-J1448))</f>
        <v/>
      </c>
      <c r="K1449">
        <f>IF(B1449="","",B1449-B1448)</f>
        <v/>
      </c>
    </row>
    <row r="1450">
      <c r="G1450">
        <f>IF(C1450="","",C1450*$N$5)</f>
        <v/>
      </c>
      <c r="H1450">
        <f>IF(C1450="","",AVERAGE(C1447:C1450)*$N$5)</f>
        <v/>
      </c>
      <c r="I1450">
        <f>IF(C1450="","",AVERAGE(C1435:C1450)*$N$5)</f>
        <v/>
      </c>
      <c r="J1450">
        <f>IF(C1450="","",J1449+$N$6*(C1450*$N$5-J1449))</f>
        <v/>
      </c>
      <c r="K1450">
        <f>IF(B1450="","",B1450-B1449)</f>
        <v/>
      </c>
    </row>
    <row r="1451">
      <c r="G1451">
        <f>IF(C1451="","",C1451*$N$5)</f>
        <v/>
      </c>
      <c r="H1451">
        <f>IF(C1451="","",AVERAGE(C1448:C1451)*$N$5)</f>
        <v/>
      </c>
      <c r="I1451">
        <f>IF(C1451="","",AVERAGE(C1436:C1451)*$N$5)</f>
        <v/>
      </c>
      <c r="J1451">
        <f>IF(C1451="","",J1450+$N$6*(C1451*$N$5-J1450))</f>
        <v/>
      </c>
      <c r="K1451">
        <f>IF(B1451="","",B1451-B1450)</f>
        <v/>
      </c>
    </row>
    <row r="1452">
      <c r="G1452">
        <f>IF(C1452="","",C1452*$N$5)</f>
        <v/>
      </c>
      <c r="H1452">
        <f>IF(C1452="","",AVERAGE(C1449:C1452)*$N$5)</f>
        <v/>
      </c>
      <c r="I1452">
        <f>IF(C1452="","",AVERAGE(C1437:C1452)*$N$5)</f>
        <v/>
      </c>
      <c r="J1452">
        <f>IF(C1452="","",J1451+$N$6*(C1452*$N$5-J1451))</f>
        <v/>
      </c>
      <c r="K1452">
        <f>IF(B1452="","",B1452-B1451)</f>
        <v/>
      </c>
    </row>
    <row r="1453">
      <c r="G1453">
        <f>IF(C1453="","",C1453*$N$5)</f>
        <v/>
      </c>
      <c r="H1453">
        <f>IF(C1453="","",AVERAGE(C1450:C1453)*$N$5)</f>
        <v/>
      </c>
      <c r="I1453">
        <f>IF(C1453="","",AVERAGE(C1438:C1453)*$N$5)</f>
        <v/>
      </c>
      <c r="J1453">
        <f>IF(C1453="","",J1452+$N$6*(C1453*$N$5-J1452))</f>
        <v/>
      </c>
      <c r="K1453">
        <f>IF(B1453="","",B1453-B1452)</f>
        <v/>
      </c>
    </row>
    <row r="1454">
      <c r="G1454">
        <f>IF(C1454="","",C1454*$N$5)</f>
        <v/>
      </c>
      <c r="H1454">
        <f>IF(C1454="","",AVERAGE(C1451:C1454)*$N$5)</f>
        <v/>
      </c>
      <c r="I1454">
        <f>IF(C1454="","",AVERAGE(C1439:C1454)*$N$5)</f>
        <v/>
      </c>
      <c r="J1454">
        <f>IF(C1454="","",J1453+$N$6*(C1454*$N$5-J1453))</f>
        <v/>
      </c>
      <c r="K1454">
        <f>IF(B1454="","",B1454-B1453)</f>
        <v/>
      </c>
    </row>
    <row r="1455">
      <c r="G1455">
        <f>IF(C1455="","",C1455*$N$5)</f>
        <v/>
      </c>
      <c r="H1455">
        <f>IF(C1455="","",AVERAGE(C1452:C1455)*$N$5)</f>
        <v/>
      </c>
      <c r="I1455">
        <f>IF(C1455="","",AVERAGE(C1440:C1455)*$N$5)</f>
        <v/>
      </c>
      <c r="J1455">
        <f>IF(C1455="","",J1454+$N$6*(C1455*$N$5-J1454))</f>
        <v/>
      </c>
      <c r="K1455">
        <f>IF(B1455="","",B1455-B1454)</f>
        <v/>
      </c>
    </row>
    <row r="1456">
      <c r="G1456">
        <f>IF(C1456="","",C1456*$N$5)</f>
        <v/>
      </c>
      <c r="H1456">
        <f>IF(C1456="","",AVERAGE(C1453:C1456)*$N$5)</f>
        <v/>
      </c>
      <c r="I1456">
        <f>IF(C1456="","",AVERAGE(C1441:C1456)*$N$5)</f>
        <v/>
      </c>
      <c r="J1456">
        <f>IF(C1456="","",J1455+$N$6*(C1456*$N$5-J1455))</f>
        <v/>
      </c>
      <c r="K1456">
        <f>IF(B1456="","",B1456-B1455)</f>
        <v/>
      </c>
    </row>
    <row r="1457">
      <c r="G1457">
        <f>IF(C1457="","",C1457*$N$5)</f>
        <v/>
      </c>
      <c r="H1457">
        <f>IF(C1457="","",AVERAGE(C1454:C1457)*$N$5)</f>
        <v/>
      </c>
      <c r="I1457">
        <f>IF(C1457="","",AVERAGE(C1442:C1457)*$N$5)</f>
        <v/>
      </c>
      <c r="J1457">
        <f>IF(C1457="","",J1456+$N$6*(C1457*$N$5-J1456))</f>
        <v/>
      </c>
      <c r="K1457">
        <f>IF(B1457="","",B1457-B1456)</f>
        <v/>
      </c>
    </row>
    <row r="1458">
      <c r="G1458">
        <f>IF(C1458="","",C1458*$N$5)</f>
        <v/>
      </c>
      <c r="H1458">
        <f>IF(C1458="","",AVERAGE(C1455:C1458)*$N$5)</f>
        <v/>
      </c>
      <c r="I1458">
        <f>IF(C1458="","",AVERAGE(C1443:C1458)*$N$5)</f>
        <v/>
      </c>
      <c r="J1458">
        <f>IF(C1458="","",J1457+$N$6*(C1458*$N$5-J1457))</f>
        <v/>
      </c>
      <c r="K1458">
        <f>IF(B1458="","",B1458-B1457)</f>
        <v/>
      </c>
    </row>
    <row r="1459">
      <c r="G1459">
        <f>IF(C1459="","",C1459*$N$5)</f>
        <v/>
      </c>
      <c r="H1459">
        <f>IF(C1459="","",AVERAGE(C1456:C1459)*$N$5)</f>
        <v/>
      </c>
      <c r="I1459">
        <f>IF(C1459="","",AVERAGE(C1444:C1459)*$N$5)</f>
        <v/>
      </c>
      <c r="J1459">
        <f>IF(C1459="","",J1458+$N$6*(C1459*$N$5-J1458))</f>
        <v/>
      </c>
      <c r="K1459">
        <f>IF(B1459="","",B1459-B1458)</f>
        <v/>
      </c>
    </row>
    <row r="1460">
      <c r="G1460">
        <f>IF(C1460="","",C1460*$N$5)</f>
        <v/>
      </c>
      <c r="H1460">
        <f>IF(C1460="","",AVERAGE(C1457:C1460)*$N$5)</f>
        <v/>
      </c>
      <c r="I1460">
        <f>IF(C1460="","",AVERAGE(C1445:C1460)*$N$5)</f>
        <v/>
      </c>
      <c r="J1460">
        <f>IF(C1460="","",J1459+$N$6*(C1460*$N$5-J1459))</f>
        <v/>
      </c>
      <c r="K1460">
        <f>IF(B1460="","",B1460-B1459)</f>
        <v/>
      </c>
    </row>
    <row r="1461">
      <c r="G1461">
        <f>IF(C1461="","",C1461*$N$5)</f>
        <v/>
      </c>
      <c r="H1461">
        <f>IF(C1461="","",AVERAGE(C1458:C1461)*$N$5)</f>
        <v/>
      </c>
      <c r="I1461">
        <f>IF(C1461="","",AVERAGE(C1446:C1461)*$N$5)</f>
        <v/>
      </c>
      <c r="J1461">
        <f>IF(C1461="","",J1460+$N$6*(C1461*$N$5-J1460))</f>
        <v/>
      </c>
      <c r="K1461">
        <f>IF(B1461="","",B1461-B1460)</f>
        <v/>
      </c>
    </row>
    <row r="1462">
      <c r="G1462">
        <f>IF(C1462="","",C1462*$N$5)</f>
        <v/>
      </c>
      <c r="H1462">
        <f>IF(C1462="","",AVERAGE(C1459:C1462)*$N$5)</f>
        <v/>
      </c>
      <c r="I1462">
        <f>IF(C1462="","",AVERAGE(C1447:C1462)*$N$5)</f>
        <v/>
      </c>
      <c r="J1462">
        <f>IF(C1462="","",J1461+$N$6*(C1462*$N$5-J1461))</f>
        <v/>
      </c>
      <c r="K1462">
        <f>IF(B1462="","",B1462-B1461)</f>
        <v/>
      </c>
    </row>
    <row r="1463">
      <c r="G1463">
        <f>IF(C1463="","",C1463*$N$5)</f>
        <v/>
      </c>
      <c r="H1463">
        <f>IF(C1463="","",AVERAGE(C1460:C1463)*$N$5)</f>
        <v/>
      </c>
      <c r="I1463">
        <f>IF(C1463="","",AVERAGE(C1448:C1463)*$N$5)</f>
        <v/>
      </c>
      <c r="J1463">
        <f>IF(C1463="","",J1462+$N$6*(C1463*$N$5-J1462))</f>
        <v/>
      </c>
      <c r="K1463">
        <f>IF(B1463="","",B1463-B1462)</f>
        <v/>
      </c>
    </row>
    <row r="1464">
      <c r="G1464">
        <f>IF(C1464="","",C1464*$N$5)</f>
        <v/>
      </c>
      <c r="H1464">
        <f>IF(C1464="","",AVERAGE(C1461:C1464)*$N$5)</f>
        <v/>
      </c>
      <c r="I1464">
        <f>IF(C1464="","",AVERAGE(C1449:C1464)*$N$5)</f>
        <v/>
      </c>
      <c r="J1464">
        <f>IF(C1464="","",J1463+$N$6*(C1464*$N$5-J1463))</f>
        <v/>
      </c>
      <c r="K1464">
        <f>IF(B1464="","",B1464-B1463)</f>
        <v/>
      </c>
    </row>
    <row r="1465">
      <c r="G1465">
        <f>IF(C1465="","",C1465*$N$5)</f>
        <v/>
      </c>
      <c r="H1465">
        <f>IF(C1465="","",AVERAGE(C1462:C1465)*$N$5)</f>
        <v/>
      </c>
      <c r="I1465">
        <f>IF(C1465="","",AVERAGE(C1450:C1465)*$N$5)</f>
        <v/>
      </c>
      <c r="J1465">
        <f>IF(C1465="","",J1464+$N$6*(C1465*$N$5-J1464))</f>
        <v/>
      </c>
      <c r="K1465">
        <f>IF(B1465="","",B1465-B1464)</f>
        <v/>
      </c>
    </row>
    <row r="1466">
      <c r="G1466">
        <f>IF(C1466="","",C1466*$N$5)</f>
        <v/>
      </c>
      <c r="H1466">
        <f>IF(C1466="","",AVERAGE(C1463:C1466)*$N$5)</f>
        <v/>
      </c>
      <c r="I1466">
        <f>IF(C1466="","",AVERAGE(C1451:C1466)*$N$5)</f>
        <v/>
      </c>
      <c r="J1466">
        <f>IF(C1466="","",J1465+$N$6*(C1466*$N$5-J1465))</f>
        <v/>
      </c>
      <c r="K1466">
        <f>IF(B1466="","",B1466-B1465)</f>
        <v/>
      </c>
    </row>
    <row r="1467">
      <c r="G1467">
        <f>IF(C1467="","",C1467*$N$5)</f>
        <v/>
      </c>
      <c r="H1467">
        <f>IF(C1467="","",AVERAGE(C1464:C1467)*$N$5)</f>
        <v/>
      </c>
      <c r="I1467">
        <f>IF(C1467="","",AVERAGE(C1452:C1467)*$N$5)</f>
        <v/>
      </c>
      <c r="J1467">
        <f>IF(C1467="","",J1466+$N$6*(C1467*$N$5-J1466))</f>
        <v/>
      </c>
      <c r="K1467">
        <f>IF(B1467="","",B1467-B1466)</f>
        <v/>
      </c>
    </row>
    <row r="1468">
      <c r="G1468">
        <f>IF(C1468="","",C1468*$N$5)</f>
        <v/>
      </c>
      <c r="H1468">
        <f>IF(C1468="","",AVERAGE(C1465:C1468)*$N$5)</f>
        <v/>
      </c>
      <c r="I1468">
        <f>IF(C1468="","",AVERAGE(C1453:C1468)*$N$5)</f>
        <v/>
      </c>
      <c r="J1468">
        <f>IF(C1468="","",J1467+$N$6*(C1468*$N$5-J1467))</f>
        <v/>
      </c>
      <c r="K1468">
        <f>IF(B1468="","",B1468-B1467)</f>
        <v/>
      </c>
    </row>
    <row r="1469">
      <c r="G1469">
        <f>IF(C1469="","",C1469*$N$5)</f>
        <v/>
      </c>
      <c r="H1469">
        <f>IF(C1469="","",AVERAGE(C1466:C1469)*$N$5)</f>
        <v/>
      </c>
      <c r="I1469">
        <f>IF(C1469="","",AVERAGE(C1454:C1469)*$N$5)</f>
        <v/>
      </c>
      <c r="J1469">
        <f>IF(C1469="","",J1468+$N$6*(C1469*$N$5-J1468))</f>
        <v/>
      </c>
      <c r="K1469">
        <f>IF(B1469="","",B1469-B1468)</f>
        <v/>
      </c>
    </row>
    <row r="1470">
      <c r="G1470">
        <f>IF(C1470="","",C1470*$N$5)</f>
        <v/>
      </c>
      <c r="H1470">
        <f>IF(C1470="","",AVERAGE(C1467:C1470)*$N$5)</f>
        <v/>
      </c>
      <c r="I1470">
        <f>IF(C1470="","",AVERAGE(C1455:C1470)*$N$5)</f>
        <v/>
      </c>
      <c r="J1470">
        <f>IF(C1470="","",J1469+$N$6*(C1470*$N$5-J1469))</f>
        <v/>
      </c>
      <c r="K1470">
        <f>IF(B1470="","",B1470-B1469)</f>
        <v/>
      </c>
    </row>
    <row r="1471">
      <c r="G1471">
        <f>IF(C1471="","",C1471*$N$5)</f>
        <v/>
      </c>
      <c r="H1471">
        <f>IF(C1471="","",AVERAGE(C1468:C1471)*$N$5)</f>
        <v/>
      </c>
      <c r="I1471">
        <f>IF(C1471="","",AVERAGE(C1456:C1471)*$N$5)</f>
        <v/>
      </c>
      <c r="J1471">
        <f>IF(C1471="","",J1470+$N$6*(C1471*$N$5-J1470))</f>
        <v/>
      </c>
      <c r="K1471">
        <f>IF(B1471="","",B1471-B1470)</f>
        <v/>
      </c>
    </row>
    <row r="1472">
      <c r="G1472">
        <f>IF(C1472="","",C1472*$N$5)</f>
        <v/>
      </c>
      <c r="H1472">
        <f>IF(C1472="","",AVERAGE(C1469:C1472)*$N$5)</f>
        <v/>
      </c>
      <c r="I1472">
        <f>IF(C1472="","",AVERAGE(C1457:C1472)*$N$5)</f>
        <v/>
      </c>
      <c r="J1472">
        <f>IF(C1472="","",J1471+$N$6*(C1472*$N$5-J1471))</f>
        <v/>
      </c>
      <c r="K1472">
        <f>IF(B1472="","",B1472-B1471)</f>
        <v/>
      </c>
    </row>
    <row r="1473">
      <c r="G1473">
        <f>IF(C1473="","",C1473*$N$5)</f>
        <v/>
      </c>
      <c r="H1473">
        <f>IF(C1473="","",AVERAGE(C1470:C1473)*$N$5)</f>
        <v/>
      </c>
      <c r="I1473">
        <f>IF(C1473="","",AVERAGE(C1458:C1473)*$N$5)</f>
        <v/>
      </c>
      <c r="J1473">
        <f>IF(C1473="","",J1472+$N$6*(C1473*$N$5-J1472))</f>
        <v/>
      </c>
      <c r="K1473">
        <f>IF(B1473="","",B1473-B1472)</f>
        <v/>
      </c>
    </row>
    <row r="1474">
      <c r="G1474">
        <f>IF(C1474="","",C1474*$N$5)</f>
        <v/>
      </c>
      <c r="H1474">
        <f>IF(C1474="","",AVERAGE(C1471:C1474)*$N$5)</f>
        <v/>
      </c>
      <c r="I1474">
        <f>IF(C1474="","",AVERAGE(C1459:C1474)*$N$5)</f>
        <v/>
      </c>
      <c r="J1474">
        <f>IF(C1474="","",J1473+$N$6*(C1474*$N$5-J1473))</f>
        <v/>
      </c>
      <c r="K1474">
        <f>IF(B1474="","",B1474-B1473)</f>
        <v/>
      </c>
    </row>
    <row r="1475">
      <c r="G1475">
        <f>IF(C1475="","",C1475*$N$5)</f>
        <v/>
      </c>
      <c r="H1475">
        <f>IF(C1475="","",AVERAGE(C1472:C1475)*$N$5)</f>
        <v/>
      </c>
      <c r="I1475">
        <f>IF(C1475="","",AVERAGE(C1460:C1475)*$N$5)</f>
        <v/>
      </c>
      <c r="J1475">
        <f>IF(C1475="","",J1474+$N$6*(C1475*$N$5-J1474))</f>
        <v/>
      </c>
      <c r="K1475">
        <f>IF(B1475="","",B1475-B1474)</f>
        <v/>
      </c>
    </row>
    <row r="1476">
      <c r="G1476">
        <f>IF(C1476="","",C1476*$N$5)</f>
        <v/>
      </c>
      <c r="H1476">
        <f>IF(C1476="","",AVERAGE(C1473:C1476)*$N$5)</f>
        <v/>
      </c>
      <c r="I1476">
        <f>IF(C1476="","",AVERAGE(C1461:C1476)*$N$5)</f>
        <v/>
      </c>
      <c r="J1476">
        <f>IF(C1476="","",J1475+$N$6*(C1476*$N$5-J1475))</f>
        <v/>
      </c>
      <c r="K1476">
        <f>IF(B1476="","",B1476-B1475)</f>
        <v/>
      </c>
    </row>
    <row r="1477">
      <c r="G1477">
        <f>IF(C1477="","",C1477*$N$5)</f>
        <v/>
      </c>
      <c r="H1477">
        <f>IF(C1477="","",AVERAGE(C1474:C1477)*$N$5)</f>
        <v/>
      </c>
      <c r="I1477">
        <f>IF(C1477="","",AVERAGE(C1462:C1477)*$N$5)</f>
        <v/>
      </c>
      <c r="J1477">
        <f>IF(C1477="","",J1476+$N$6*(C1477*$N$5-J1476))</f>
        <v/>
      </c>
      <c r="K1477">
        <f>IF(B1477="","",B1477-B1476)</f>
        <v/>
      </c>
    </row>
    <row r="1478">
      <c r="G1478">
        <f>IF(C1478="","",C1478*$N$5)</f>
        <v/>
      </c>
      <c r="H1478">
        <f>IF(C1478="","",AVERAGE(C1475:C1478)*$N$5)</f>
        <v/>
      </c>
      <c r="I1478">
        <f>IF(C1478="","",AVERAGE(C1463:C1478)*$N$5)</f>
        <v/>
      </c>
      <c r="J1478">
        <f>IF(C1478="","",J1477+$N$6*(C1478*$N$5-J1477))</f>
        <v/>
      </c>
      <c r="K1478">
        <f>IF(B1478="","",B1478-B1477)</f>
        <v/>
      </c>
    </row>
    <row r="1479">
      <c r="G1479">
        <f>IF(C1479="","",C1479*$N$5)</f>
        <v/>
      </c>
      <c r="H1479">
        <f>IF(C1479="","",AVERAGE(C1476:C1479)*$N$5)</f>
        <v/>
      </c>
      <c r="I1479">
        <f>IF(C1479="","",AVERAGE(C1464:C1479)*$N$5)</f>
        <v/>
      </c>
      <c r="J1479">
        <f>IF(C1479="","",J1478+$N$6*(C1479*$N$5-J1478))</f>
        <v/>
      </c>
      <c r="K1479">
        <f>IF(B1479="","",B1479-B1478)</f>
        <v/>
      </c>
    </row>
    <row r="1480">
      <c r="G1480">
        <f>IF(C1480="","",C1480*$N$5)</f>
        <v/>
      </c>
      <c r="H1480">
        <f>IF(C1480="","",AVERAGE(C1477:C1480)*$N$5)</f>
        <v/>
      </c>
      <c r="I1480">
        <f>IF(C1480="","",AVERAGE(C1465:C1480)*$N$5)</f>
        <v/>
      </c>
      <c r="J1480">
        <f>IF(C1480="","",J1479+$N$6*(C1480*$N$5-J1479))</f>
        <v/>
      </c>
      <c r="K1480">
        <f>IF(B1480="","",B1480-B1479)</f>
        <v/>
      </c>
    </row>
    <row r="1481">
      <c r="G1481">
        <f>IF(C1481="","",C1481*$N$5)</f>
        <v/>
      </c>
      <c r="H1481">
        <f>IF(C1481="","",AVERAGE(C1478:C1481)*$N$5)</f>
        <v/>
      </c>
      <c r="I1481">
        <f>IF(C1481="","",AVERAGE(C1466:C1481)*$N$5)</f>
        <v/>
      </c>
      <c r="J1481">
        <f>IF(C1481="","",J1480+$N$6*(C1481*$N$5-J1480))</f>
        <v/>
      </c>
      <c r="K1481">
        <f>IF(B1481="","",B1481-B1480)</f>
        <v/>
      </c>
    </row>
    <row r="1482">
      <c r="G1482">
        <f>IF(C1482="","",C1482*$N$5)</f>
        <v/>
      </c>
      <c r="H1482">
        <f>IF(C1482="","",AVERAGE(C1479:C1482)*$N$5)</f>
        <v/>
      </c>
      <c r="I1482">
        <f>IF(C1482="","",AVERAGE(C1467:C1482)*$N$5)</f>
        <v/>
      </c>
      <c r="J1482">
        <f>IF(C1482="","",J1481+$N$6*(C1482*$N$5-J1481))</f>
        <v/>
      </c>
      <c r="K1482">
        <f>IF(B1482="","",B1482-B1481)</f>
        <v/>
      </c>
    </row>
    <row r="1483">
      <c r="G1483">
        <f>IF(C1483="","",C1483*$N$5)</f>
        <v/>
      </c>
      <c r="H1483">
        <f>IF(C1483="","",AVERAGE(C1480:C1483)*$N$5)</f>
        <v/>
      </c>
      <c r="I1483">
        <f>IF(C1483="","",AVERAGE(C1468:C1483)*$N$5)</f>
        <v/>
      </c>
      <c r="J1483">
        <f>IF(C1483="","",J1482+$N$6*(C1483*$N$5-J1482))</f>
        <v/>
      </c>
      <c r="K1483">
        <f>IF(B1483="","",B1483-B1482)</f>
        <v/>
      </c>
    </row>
    <row r="1484">
      <c r="G1484">
        <f>IF(C1484="","",C1484*$N$5)</f>
        <v/>
      </c>
      <c r="H1484">
        <f>IF(C1484="","",AVERAGE(C1481:C1484)*$N$5)</f>
        <v/>
      </c>
      <c r="I1484">
        <f>IF(C1484="","",AVERAGE(C1469:C1484)*$N$5)</f>
        <v/>
      </c>
      <c r="J1484">
        <f>IF(C1484="","",J1483+$N$6*(C1484*$N$5-J1483))</f>
        <v/>
      </c>
      <c r="K1484">
        <f>IF(B1484="","",B1484-B1483)</f>
        <v/>
      </c>
    </row>
    <row r="1485">
      <c r="G1485">
        <f>IF(C1485="","",C1485*$N$5)</f>
        <v/>
      </c>
      <c r="H1485">
        <f>IF(C1485="","",AVERAGE(C1482:C1485)*$N$5)</f>
        <v/>
      </c>
      <c r="I1485">
        <f>IF(C1485="","",AVERAGE(C1470:C1485)*$N$5)</f>
        <v/>
      </c>
      <c r="J1485">
        <f>IF(C1485="","",J1484+$N$6*(C1485*$N$5-J1484))</f>
        <v/>
      </c>
      <c r="K1485">
        <f>IF(B1485="","",B1485-B1484)</f>
        <v/>
      </c>
    </row>
    <row r="1486">
      <c r="G1486">
        <f>IF(C1486="","",C1486*$N$5)</f>
        <v/>
      </c>
      <c r="H1486">
        <f>IF(C1486="","",AVERAGE(C1483:C1486)*$N$5)</f>
        <v/>
      </c>
      <c r="I1486">
        <f>IF(C1486="","",AVERAGE(C1471:C1486)*$N$5)</f>
        <v/>
      </c>
      <c r="J1486">
        <f>IF(C1486="","",J1485+$N$6*(C1486*$N$5-J1485))</f>
        <v/>
      </c>
      <c r="K1486">
        <f>IF(B1486="","",B1486-B1485)</f>
        <v/>
      </c>
    </row>
    <row r="1487">
      <c r="G1487">
        <f>IF(C1487="","",C1487*$N$5)</f>
        <v/>
      </c>
      <c r="H1487">
        <f>IF(C1487="","",AVERAGE(C1484:C1487)*$N$5)</f>
        <v/>
      </c>
      <c r="I1487">
        <f>IF(C1487="","",AVERAGE(C1472:C1487)*$N$5)</f>
        <v/>
      </c>
      <c r="J1487">
        <f>IF(C1487="","",J1486+$N$6*(C1487*$N$5-J1486))</f>
        <v/>
      </c>
      <c r="K1487">
        <f>IF(B1487="","",B1487-B1486)</f>
        <v/>
      </c>
    </row>
    <row r="1488">
      <c r="G1488">
        <f>IF(C1488="","",C1488*$N$5)</f>
        <v/>
      </c>
      <c r="H1488">
        <f>IF(C1488="","",AVERAGE(C1485:C1488)*$N$5)</f>
        <v/>
      </c>
      <c r="I1488">
        <f>IF(C1488="","",AVERAGE(C1473:C1488)*$N$5)</f>
        <v/>
      </c>
      <c r="J1488">
        <f>IF(C1488="","",J1487+$N$6*(C1488*$N$5-J1487))</f>
        <v/>
      </c>
      <c r="K1488">
        <f>IF(B1488="","",B1488-B1487)</f>
        <v/>
      </c>
    </row>
    <row r="1489">
      <c r="G1489">
        <f>IF(C1489="","",C1489*$N$5)</f>
        <v/>
      </c>
      <c r="H1489">
        <f>IF(C1489="","",AVERAGE(C1486:C1489)*$N$5)</f>
        <v/>
      </c>
      <c r="I1489">
        <f>IF(C1489="","",AVERAGE(C1474:C1489)*$N$5)</f>
        <v/>
      </c>
      <c r="J1489">
        <f>IF(C1489="","",J1488+$N$6*(C1489*$N$5-J1488))</f>
        <v/>
      </c>
      <c r="K1489">
        <f>IF(B1489="","",B1489-B1488)</f>
        <v/>
      </c>
    </row>
    <row r="1490">
      <c r="G1490">
        <f>IF(C1490="","",C1490*$N$5)</f>
        <v/>
      </c>
      <c r="H1490">
        <f>IF(C1490="","",AVERAGE(C1487:C1490)*$N$5)</f>
        <v/>
      </c>
      <c r="I1490">
        <f>IF(C1490="","",AVERAGE(C1475:C1490)*$N$5)</f>
        <v/>
      </c>
      <c r="J1490">
        <f>IF(C1490="","",J1489+$N$6*(C1490*$N$5-J1489))</f>
        <v/>
      </c>
      <c r="K1490">
        <f>IF(B1490="","",B1490-B1489)</f>
        <v/>
      </c>
    </row>
    <row r="1491">
      <c r="G1491">
        <f>IF(C1491="","",C1491*$N$5)</f>
        <v/>
      </c>
      <c r="H1491">
        <f>IF(C1491="","",AVERAGE(C1488:C1491)*$N$5)</f>
        <v/>
      </c>
      <c r="I1491">
        <f>IF(C1491="","",AVERAGE(C1476:C1491)*$N$5)</f>
        <v/>
      </c>
      <c r="J1491">
        <f>IF(C1491="","",J1490+$N$6*(C1491*$N$5-J1490))</f>
        <v/>
      </c>
      <c r="K1491">
        <f>IF(B1491="","",B1491-B1490)</f>
        <v/>
      </c>
    </row>
    <row r="1492">
      <c r="G1492">
        <f>IF(C1492="","",C1492*$N$5)</f>
        <v/>
      </c>
      <c r="H1492">
        <f>IF(C1492="","",AVERAGE(C1489:C1492)*$N$5)</f>
        <v/>
      </c>
      <c r="I1492">
        <f>IF(C1492="","",AVERAGE(C1477:C1492)*$N$5)</f>
        <v/>
      </c>
      <c r="J1492">
        <f>IF(C1492="","",J1491+$N$6*(C1492*$N$5-J1491))</f>
        <v/>
      </c>
      <c r="K1492">
        <f>IF(B1492="","",B1492-B1491)</f>
        <v/>
      </c>
    </row>
    <row r="1493">
      <c r="G1493">
        <f>IF(C1493="","",C1493*$N$5)</f>
        <v/>
      </c>
      <c r="H1493">
        <f>IF(C1493="","",AVERAGE(C1490:C1493)*$N$5)</f>
        <v/>
      </c>
      <c r="I1493">
        <f>IF(C1493="","",AVERAGE(C1478:C1493)*$N$5)</f>
        <v/>
      </c>
      <c r="J1493">
        <f>IF(C1493="","",J1492+$N$6*(C1493*$N$5-J1492))</f>
        <v/>
      </c>
      <c r="K1493">
        <f>IF(B1493="","",B1493-B1492)</f>
        <v/>
      </c>
    </row>
    <row r="1494">
      <c r="G1494">
        <f>IF(C1494="","",C1494*$N$5)</f>
        <v/>
      </c>
      <c r="H1494">
        <f>IF(C1494="","",AVERAGE(C1491:C1494)*$N$5)</f>
        <v/>
      </c>
      <c r="I1494">
        <f>IF(C1494="","",AVERAGE(C1479:C1494)*$N$5)</f>
        <v/>
      </c>
      <c r="J1494">
        <f>IF(C1494="","",J1493+$N$6*(C1494*$N$5-J1493))</f>
        <v/>
      </c>
      <c r="K1494">
        <f>IF(B1494="","",B1494-B1493)</f>
        <v/>
      </c>
    </row>
    <row r="1495">
      <c r="G1495">
        <f>IF(C1495="","",C1495*$N$5)</f>
        <v/>
      </c>
      <c r="H1495">
        <f>IF(C1495="","",AVERAGE(C1492:C1495)*$N$5)</f>
        <v/>
      </c>
      <c r="I1495">
        <f>IF(C1495="","",AVERAGE(C1480:C1495)*$N$5)</f>
        <v/>
      </c>
      <c r="J1495">
        <f>IF(C1495="","",J1494+$N$6*(C1495*$N$5-J1494))</f>
        <v/>
      </c>
      <c r="K1495">
        <f>IF(B1495="","",B1495-B1494)</f>
        <v/>
      </c>
    </row>
    <row r="1496">
      <c r="G1496">
        <f>IF(C1496="","",C1496*$N$5)</f>
        <v/>
      </c>
      <c r="H1496">
        <f>IF(C1496="","",AVERAGE(C1493:C1496)*$N$5)</f>
        <v/>
      </c>
      <c r="I1496">
        <f>IF(C1496="","",AVERAGE(C1481:C1496)*$N$5)</f>
        <v/>
      </c>
      <c r="J1496">
        <f>IF(C1496="","",J1495+$N$6*(C1496*$N$5-J1495))</f>
        <v/>
      </c>
      <c r="K1496">
        <f>IF(B1496="","",B1496-B1495)</f>
        <v/>
      </c>
    </row>
    <row r="1497">
      <c r="G1497">
        <f>IF(C1497="","",C1497*$N$5)</f>
        <v/>
      </c>
      <c r="H1497">
        <f>IF(C1497="","",AVERAGE(C1494:C1497)*$N$5)</f>
        <v/>
      </c>
      <c r="I1497">
        <f>IF(C1497="","",AVERAGE(C1482:C1497)*$N$5)</f>
        <v/>
      </c>
      <c r="J1497">
        <f>IF(C1497="","",J1496+$N$6*(C1497*$N$5-J1496))</f>
        <v/>
      </c>
      <c r="K1497">
        <f>IF(B1497="","",B1497-B1496)</f>
        <v/>
      </c>
    </row>
    <row r="1498">
      <c r="G1498">
        <f>IF(C1498="","",C1498*$N$5)</f>
        <v/>
      </c>
      <c r="H1498">
        <f>IF(C1498="","",AVERAGE(C1495:C1498)*$N$5)</f>
        <v/>
      </c>
      <c r="I1498">
        <f>IF(C1498="","",AVERAGE(C1483:C1498)*$N$5)</f>
        <v/>
      </c>
      <c r="J1498">
        <f>IF(C1498="","",J1497+$N$6*(C1498*$N$5-J1497))</f>
        <v/>
      </c>
      <c r="K1498">
        <f>IF(B1498="","",B1498-B1497)</f>
        <v/>
      </c>
    </row>
    <row r="1499">
      <c r="G1499">
        <f>IF(C1499="","",C1499*$N$5)</f>
        <v/>
      </c>
      <c r="H1499">
        <f>IF(C1499="","",AVERAGE(C1496:C1499)*$N$5)</f>
        <v/>
      </c>
      <c r="I1499">
        <f>IF(C1499="","",AVERAGE(C1484:C1499)*$N$5)</f>
        <v/>
      </c>
      <c r="J1499">
        <f>IF(C1499="","",J1498+$N$6*(C1499*$N$5-J1498))</f>
        <v/>
      </c>
      <c r="K1499">
        <f>IF(B1499="","",B1499-B1498)</f>
        <v/>
      </c>
    </row>
    <row r="1500">
      <c r="G1500">
        <f>IF(C1500="","",C1500*$N$5)</f>
        <v/>
      </c>
      <c r="H1500">
        <f>IF(C1500="","",AVERAGE(C1497:C1500)*$N$5)</f>
        <v/>
      </c>
      <c r="I1500">
        <f>IF(C1500="","",AVERAGE(C1485:C1500)*$N$5)</f>
        <v/>
      </c>
      <c r="J1500">
        <f>IF(C1500="","",J1499+$N$6*(C1500*$N$5-J1499))</f>
        <v/>
      </c>
      <c r="K1500">
        <f>IF(B1500="","",B1500-B1499)</f>
        <v/>
      </c>
    </row>
    <row r="1501">
      <c r="G1501">
        <f>IF(C1501="","",C1501*$N$5)</f>
        <v/>
      </c>
      <c r="H1501">
        <f>IF(C1501="","",AVERAGE(C1498:C1501)*$N$5)</f>
        <v/>
      </c>
      <c r="I1501">
        <f>IF(C1501="","",AVERAGE(C1486:C1501)*$N$5)</f>
        <v/>
      </c>
      <c r="J1501">
        <f>IF(C1501="","",J1500+$N$6*(C1501*$N$5-J1500))</f>
        <v/>
      </c>
      <c r="K1501">
        <f>IF(B1501="","",B1501-B1500)</f>
        <v/>
      </c>
    </row>
    <row r="1502">
      <c r="G1502">
        <f>IF(C1502="","",C1502*$N$5)</f>
        <v/>
      </c>
      <c r="H1502">
        <f>IF(C1502="","",AVERAGE(C1499:C1502)*$N$5)</f>
        <v/>
      </c>
      <c r="I1502">
        <f>IF(C1502="","",AVERAGE(C1487:C1502)*$N$5)</f>
        <v/>
      </c>
      <c r="J1502">
        <f>IF(C1502="","",J1501+$N$6*(C1502*$N$5-J1501))</f>
        <v/>
      </c>
      <c r="K1502">
        <f>IF(B1502="","",B1502-B1501)</f>
        <v/>
      </c>
    </row>
    <row r="1503">
      <c r="G1503">
        <f>IF(C1503="","",C1503*$N$5)</f>
        <v/>
      </c>
      <c r="H1503">
        <f>IF(C1503="","",AVERAGE(C1500:C1503)*$N$5)</f>
        <v/>
      </c>
      <c r="I1503">
        <f>IF(C1503="","",AVERAGE(C1488:C1503)*$N$5)</f>
        <v/>
      </c>
      <c r="J1503">
        <f>IF(C1503="","",J1502+$N$6*(C1503*$N$5-J1502))</f>
        <v/>
      </c>
      <c r="K1503">
        <f>IF(B1503="","",B1503-B1502)</f>
        <v/>
      </c>
    </row>
    <row r="1504">
      <c r="G1504">
        <f>IF(C1504="","",C1504*$N$5)</f>
        <v/>
      </c>
      <c r="H1504">
        <f>IF(C1504="","",AVERAGE(C1501:C1504)*$N$5)</f>
        <v/>
      </c>
      <c r="I1504">
        <f>IF(C1504="","",AVERAGE(C1489:C1504)*$N$5)</f>
        <v/>
      </c>
      <c r="J1504">
        <f>IF(C1504="","",J1503+$N$6*(C1504*$N$5-J1503))</f>
        <v/>
      </c>
      <c r="K1504">
        <f>IF(B1504="","",B1504-B1503)</f>
        <v/>
      </c>
    </row>
    <row r="1505">
      <c r="G1505">
        <f>IF(C1505="","",C1505*$N$5)</f>
        <v/>
      </c>
      <c r="H1505">
        <f>IF(C1505="","",AVERAGE(C1502:C1505)*$N$5)</f>
        <v/>
      </c>
      <c r="I1505">
        <f>IF(C1505="","",AVERAGE(C1490:C1505)*$N$5)</f>
        <v/>
      </c>
      <c r="J1505">
        <f>IF(C1505="","",J1504+$N$6*(C1505*$N$5-J1504))</f>
        <v/>
      </c>
      <c r="K1505">
        <f>IF(B1505="","",B1505-B1504)</f>
        <v/>
      </c>
    </row>
    <row r="1506">
      <c r="G1506">
        <f>IF(C1506="","",C1506*$N$5)</f>
        <v/>
      </c>
      <c r="H1506">
        <f>IF(C1506="","",AVERAGE(C1503:C1506)*$N$5)</f>
        <v/>
      </c>
      <c r="I1506">
        <f>IF(C1506="","",AVERAGE(C1491:C1506)*$N$5)</f>
        <v/>
      </c>
      <c r="J1506">
        <f>IF(C1506="","",J1505+$N$6*(C1506*$N$5-J1505))</f>
        <v/>
      </c>
      <c r="K1506">
        <f>IF(B1506="","",B1506-B1505)</f>
        <v/>
      </c>
    </row>
    <row r="1507">
      <c r="G1507">
        <f>IF(C1507="","",C1507*$N$5)</f>
        <v/>
      </c>
      <c r="H1507">
        <f>IF(C1507="","",AVERAGE(C1504:C1507)*$N$5)</f>
        <v/>
      </c>
      <c r="I1507">
        <f>IF(C1507="","",AVERAGE(C1492:C1507)*$N$5)</f>
        <v/>
      </c>
      <c r="J1507">
        <f>IF(C1507="","",J1506+$N$6*(C1507*$N$5-J1506))</f>
        <v/>
      </c>
      <c r="K1507">
        <f>IF(B1507="","",B1507-B1506)</f>
        <v/>
      </c>
    </row>
    <row r="1508">
      <c r="G1508">
        <f>IF(C1508="","",C1508*$N$5)</f>
        <v/>
      </c>
      <c r="H1508">
        <f>IF(C1508="","",AVERAGE(C1505:C1508)*$N$5)</f>
        <v/>
      </c>
      <c r="I1508">
        <f>IF(C1508="","",AVERAGE(C1493:C1508)*$N$5)</f>
        <v/>
      </c>
      <c r="J1508">
        <f>IF(C1508="","",J1507+$N$6*(C1508*$N$5-J1507))</f>
        <v/>
      </c>
      <c r="K1508">
        <f>IF(B1508="","",B1508-B1507)</f>
        <v/>
      </c>
    </row>
    <row r="1509">
      <c r="G1509">
        <f>IF(C1509="","",C1509*$N$5)</f>
        <v/>
      </c>
      <c r="H1509">
        <f>IF(C1509="","",AVERAGE(C1506:C1509)*$N$5)</f>
        <v/>
      </c>
      <c r="I1509">
        <f>IF(C1509="","",AVERAGE(C1494:C1509)*$N$5)</f>
        <v/>
      </c>
      <c r="J1509">
        <f>IF(C1509="","",J1508+$N$6*(C1509*$N$5-J1508))</f>
        <v/>
      </c>
      <c r="K1509">
        <f>IF(B1509="","",B1509-B1508)</f>
        <v/>
      </c>
    </row>
    <row r="1510">
      <c r="G1510">
        <f>IF(C1510="","",C1510*$N$5)</f>
        <v/>
      </c>
      <c r="H1510">
        <f>IF(C1510="","",AVERAGE(C1507:C1510)*$N$5)</f>
        <v/>
      </c>
      <c r="I1510">
        <f>IF(C1510="","",AVERAGE(C1495:C1510)*$N$5)</f>
        <v/>
      </c>
      <c r="J1510">
        <f>IF(C1510="","",J1509+$N$6*(C1510*$N$5-J1509))</f>
        <v/>
      </c>
      <c r="K1510">
        <f>IF(B1510="","",B1510-B1509)</f>
        <v/>
      </c>
    </row>
    <row r="1511">
      <c r="G1511">
        <f>IF(C1511="","",C1511*$N$5)</f>
        <v/>
      </c>
      <c r="H1511">
        <f>IF(C1511="","",AVERAGE(C1508:C1511)*$N$5)</f>
        <v/>
      </c>
      <c r="I1511">
        <f>IF(C1511="","",AVERAGE(C1496:C1511)*$N$5)</f>
        <v/>
      </c>
      <c r="J1511">
        <f>IF(C1511="","",J1510+$N$6*(C1511*$N$5-J1510))</f>
        <v/>
      </c>
      <c r="K1511">
        <f>IF(B1511="","",B1511-B1510)</f>
        <v/>
      </c>
    </row>
    <row r="1512">
      <c r="G1512">
        <f>IF(C1512="","",C1512*$N$5)</f>
        <v/>
      </c>
      <c r="H1512">
        <f>IF(C1512="","",AVERAGE(C1509:C1512)*$N$5)</f>
        <v/>
      </c>
      <c r="I1512">
        <f>IF(C1512="","",AVERAGE(C1497:C1512)*$N$5)</f>
        <v/>
      </c>
      <c r="J1512">
        <f>IF(C1512="","",J1511+$N$6*(C1512*$N$5-J1511))</f>
        <v/>
      </c>
      <c r="K1512">
        <f>IF(B1512="","",B1512-B1511)</f>
        <v/>
      </c>
    </row>
    <row r="1513">
      <c r="G1513">
        <f>IF(C1513="","",C1513*$N$5)</f>
        <v/>
      </c>
      <c r="H1513">
        <f>IF(C1513="","",AVERAGE(C1510:C1513)*$N$5)</f>
        <v/>
      </c>
      <c r="I1513">
        <f>IF(C1513="","",AVERAGE(C1498:C1513)*$N$5)</f>
        <v/>
      </c>
      <c r="J1513">
        <f>IF(C1513="","",J1512+$N$6*(C1513*$N$5-J1512))</f>
        <v/>
      </c>
      <c r="K1513">
        <f>IF(B1513="","",B1513-B1512)</f>
        <v/>
      </c>
    </row>
    <row r="1514">
      <c r="G1514">
        <f>IF(C1514="","",C1514*$N$5)</f>
        <v/>
      </c>
      <c r="H1514">
        <f>IF(C1514="","",AVERAGE(C1511:C1514)*$N$5)</f>
        <v/>
      </c>
      <c r="I1514">
        <f>IF(C1514="","",AVERAGE(C1499:C1514)*$N$5)</f>
        <v/>
      </c>
      <c r="J1514">
        <f>IF(C1514="","",J1513+$N$6*(C1514*$N$5-J1513))</f>
        <v/>
      </c>
      <c r="K1514">
        <f>IF(B1514="","",B1514-B1513)</f>
        <v/>
      </c>
    </row>
    <row r="1515">
      <c r="G1515">
        <f>IF(C1515="","",C1515*$N$5)</f>
        <v/>
      </c>
      <c r="H1515">
        <f>IF(C1515="","",AVERAGE(C1512:C1515)*$N$5)</f>
        <v/>
      </c>
      <c r="I1515">
        <f>IF(C1515="","",AVERAGE(C1500:C1515)*$N$5)</f>
        <v/>
      </c>
      <c r="J1515">
        <f>IF(C1515="","",J1514+$N$6*(C1515*$N$5-J1514))</f>
        <v/>
      </c>
      <c r="K1515">
        <f>IF(B1515="","",B1515-B1514)</f>
        <v/>
      </c>
    </row>
    <row r="1516">
      <c r="G1516">
        <f>IF(C1516="","",C1516*$N$5)</f>
        <v/>
      </c>
      <c r="H1516">
        <f>IF(C1516="","",AVERAGE(C1513:C1516)*$N$5)</f>
        <v/>
      </c>
      <c r="I1516">
        <f>IF(C1516="","",AVERAGE(C1501:C1516)*$N$5)</f>
        <v/>
      </c>
      <c r="J1516">
        <f>IF(C1516="","",J1515+$N$6*(C1516*$N$5-J1515))</f>
        <v/>
      </c>
      <c r="K1516">
        <f>IF(B1516="","",B1516-B1515)</f>
        <v/>
      </c>
    </row>
    <row r="1517">
      <c r="G1517">
        <f>IF(C1517="","",C1517*$N$5)</f>
        <v/>
      </c>
      <c r="H1517">
        <f>IF(C1517="","",AVERAGE(C1514:C1517)*$N$5)</f>
        <v/>
      </c>
      <c r="I1517">
        <f>IF(C1517="","",AVERAGE(C1502:C1517)*$N$5)</f>
        <v/>
      </c>
      <c r="J1517">
        <f>IF(C1517="","",J1516+$N$6*(C1517*$N$5-J1516))</f>
        <v/>
      </c>
      <c r="K1517">
        <f>IF(B1517="","",B1517-B1516)</f>
        <v/>
      </c>
    </row>
    <row r="1518">
      <c r="G1518">
        <f>IF(C1518="","",C1518*$N$5)</f>
        <v/>
      </c>
      <c r="H1518">
        <f>IF(C1518="","",AVERAGE(C1515:C1518)*$N$5)</f>
        <v/>
      </c>
      <c r="I1518">
        <f>IF(C1518="","",AVERAGE(C1503:C1518)*$N$5)</f>
        <v/>
      </c>
      <c r="J1518">
        <f>IF(C1518="","",J1517+$N$6*(C1518*$N$5-J1517))</f>
        <v/>
      </c>
      <c r="K1518">
        <f>IF(B1518="","",B1518-B1517)</f>
        <v/>
      </c>
    </row>
    <row r="1519">
      <c r="G1519">
        <f>IF(C1519="","",C1519*$N$5)</f>
        <v/>
      </c>
      <c r="H1519">
        <f>IF(C1519="","",AVERAGE(C1516:C1519)*$N$5)</f>
        <v/>
      </c>
      <c r="I1519">
        <f>IF(C1519="","",AVERAGE(C1504:C1519)*$N$5)</f>
        <v/>
      </c>
      <c r="J1519">
        <f>IF(C1519="","",J1518+$N$6*(C1519*$N$5-J1518))</f>
        <v/>
      </c>
      <c r="K1519">
        <f>IF(B1519="","",B1519-B1518)</f>
        <v/>
      </c>
    </row>
    <row r="1520">
      <c r="G1520">
        <f>IF(C1520="","",C1520*$N$5)</f>
        <v/>
      </c>
      <c r="H1520">
        <f>IF(C1520="","",AVERAGE(C1517:C1520)*$N$5)</f>
        <v/>
      </c>
      <c r="I1520">
        <f>IF(C1520="","",AVERAGE(C1505:C1520)*$N$5)</f>
        <v/>
      </c>
      <c r="J1520">
        <f>IF(C1520="","",J1519+$N$6*(C1520*$N$5-J1519))</f>
        <v/>
      </c>
      <c r="K1520">
        <f>IF(B1520="","",B1520-B1519)</f>
        <v/>
      </c>
    </row>
    <row r="1521">
      <c r="G1521">
        <f>IF(C1521="","",C1521*$N$5)</f>
        <v/>
      </c>
      <c r="H1521">
        <f>IF(C1521="","",AVERAGE(C1518:C1521)*$N$5)</f>
        <v/>
      </c>
      <c r="I1521">
        <f>IF(C1521="","",AVERAGE(C1506:C1521)*$N$5)</f>
        <v/>
      </c>
      <c r="J1521">
        <f>IF(C1521="","",J1520+$N$6*(C1521*$N$5-J1520))</f>
        <v/>
      </c>
      <c r="K1521">
        <f>IF(B1521="","",B1521-B1520)</f>
        <v/>
      </c>
    </row>
    <row r="1522">
      <c r="G1522">
        <f>IF(C1522="","",C1522*$N$5)</f>
        <v/>
      </c>
      <c r="H1522">
        <f>IF(C1522="","",AVERAGE(C1519:C1522)*$N$5)</f>
        <v/>
      </c>
      <c r="I1522">
        <f>IF(C1522="","",AVERAGE(C1507:C1522)*$N$5)</f>
        <v/>
      </c>
      <c r="J1522">
        <f>IF(C1522="","",J1521+$N$6*(C1522*$N$5-J1521))</f>
        <v/>
      </c>
      <c r="K1522">
        <f>IF(B1522="","",B1522-B1521)</f>
        <v/>
      </c>
    </row>
    <row r="1523">
      <c r="G1523">
        <f>IF(C1523="","",C1523*$N$5)</f>
        <v/>
      </c>
      <c r="H1523">
        <f>IF(C1523="","",AVERAGE(C1520:C1523)*$N$5)</f>
        <v/>
      </c>
      <c r="I1523">
        <f>IF(C1523="","",AVERAGE(C1508:C1523)*$N$5)</f>
        <v/>
      </c>
      <c r="J1523">
        <f>IF(C1523="","",J1522+$N$6*(C1523*$N$5-J1522))</f>
        <v/>
      </c>
      <c r="K1523">
        <f>IF(B1523="","",B1523-B1522)</f>
        <v/>
      </c>
    </row>
    <row r="1524">
      <c r="G1524">
        <f>IF(C1524="","",C1524*$N$5)</f>
        <v/>
      </c>
      <c r="H1524">
        <f>IF(C1524="","",AVERAGE(C1521:C1524)*$N$5)</f>
        <v/>
      </c>
      <c r="I1524">
        <f>IF(C1524="","",AVERAGE(C1509:C1524)*$N$5)</f>
        <v/>
      </c>
      <c r="J1524">
        <f>IF(C1524="","",J1523+$N$6*(C1524*$N$5-J1523))</f>
        <v/>
      </c>
      <c r="K1524">
        <f>IF(B1524="","",B1524-B1523)</f>
        <v/>
      </c>
    </row>
    <row r="1525">
      <c r="G1525">
        <f>IF(C1525="","",C1525*$N$5)</f>
        <v/>
      </c>
      <c r="H1525">
        <f>IF(C1525="","",AVERAGE(C1522:C1525)*$N$5)</f>
        <v/>
      </c>
      <c r="I1525">
        <f>IF(C1525="","",AVERAGE(C1510:C1525)*$N$5)</f>
        <v/>
      </c>
      <c r="J1525">
        <f>IF(C1525="","",J1524+$N$6*(C1525*$N$5-J1524))</f>
        <v/>
      </c>
      <c r="K1525">
        <f>IF(B1525="","",B1525-B1524)</f>
        <v/>
      </c>
    </row>
    <row r="1526">
      <c r="G1526">
        <f>IF(C1526="","",C1526*$N$5)</f>
        <v/>
      </c>
      <c r="H1526">
        <f>IF(C1526="","",AVERAGE(C1523:C1526)*$N$5)</f>
        <v/>
      </c>
      <c r="I1526">
        <f>IF(C1526="","",AVERAGE(C1511:C1526)*$N$5)</f>
        <v/>
      </c>
      <c r="J1526">
        <f>IF(C1526="","",J1525+$N$6*(C1526*$N$5-J1525))</f>
        <v/>
      </c>
      <c r="K1526">
        <f>IF(B1526="","",B1526-B1525)</f>
        <v/>
      </c>
    </row>
    <row r="1527">
      <c r="G1527">
        <f>IF(C1527="","",C1527*$N$5)</f>
        <v/>
      </c>
      <c r="H1527">
        <f>IF(C1527="","",AVERAGE(C1524:C1527)*$N$5)</f>
        <v/>
      </c>
      <c r="I1527">
        <f>IF(C1527="","",AVERAGE(C1512:C1527)*$N$5)</f>
        <v/>
      </c>
      <c r="J1527">
        <f>IF(C1527="","",J1526+$N$6*(C1527*$N$5-J1526))</f>
        <v/>
      </c>
      <c r="K1527">
        <f>IF(B1527="","",B1527-B1526)</f>
        <v/>
      </c>
    </row>
    <row r="1528">
      <c r="G1528">
        <f>IF(C1528="","",C1528*$N$5)</f>
        <v/>
      </c>
      <c r="H1528">
        <f>IF(C1528="","",AVERAGE(C1525:C1528)*$N$5)</f>
        <v/>
      </c>
      <c r="I1528">
        <f>IF(C1528="","",AVERAGE(C1513:C1528)*$N$5)</f>
        <v/>
      </c>
      <c r="J1528">
        <f>IF(C1528="","",J1527+$N$6*(C1528*$N$5-J1527))</f>
        <v/>
      </c>
      <c r="K1528">
        <f>IF(B1528="","",B1528-B1527)</f>
        <v/>
      </c>
    </row>
    <row r="1529">
      <c r="G1529">
        <f>IF(C1529="","",C1529*$N$5)</f>
        <v/>
      </c>
      <c r="H1529">
        <f>IF(C1529="","",AVERAGE(C1526:C1529)*$N$5)</f>
        <v/>
      </c>
      <c r="I1529">
        <f>IF(C1529="","",AVERAGE(C1514:C1529)*$N$5)</f>
        <v/>
      </c>
      <c r="J1529">
        <f>IF(C1529="","",J1528+$N$6*(C1529*$N$5-J1528))</f>
        <v/>
      </c>
      <c r="K1529">
        <f>IF(B1529="","",B1529-B1528)</f>
        <v/>
      </c>
    </row>
    <row r="1530">
      <c r="G1530">
        <f>IF(C1530="","",C1530*$N$5)</f>
        <v/>
      </c>
      <c r="H1530">
        <f>IF(C1530="","",AVERAGE(C1527:C1530)*$N$5)</f>
        <v/>
      </c>
      <c r="I1530">
        <f>IF(C1530="","",AVERAGE(C1515:C1530)*$N$5)</f>
        <v/>
      </c>
      <c r="J1530">
        <f>IF(C1530="","",J1529+$N$6*(C1530*$N$5-J1529))</f>
        <v/>
      </c>
      <c r="K1530">
        <f>IF(B1530="","",B1530-B1529)</f>
        <v/>
      </c>
    </row>
    <row r="1531">
      <c r="G1531">
        <f>IF(C1531="","",C1531*$N$5)</f>
        <v/>
      </c>
      <c r="H1531">
        <f>IF(C1531="","",AVERAGE(C1528:C1531)*$N$5)</f>
        <v/>
      </c>
      <c r="I1531">
        <f>IF(C1531="","",AVERAGE(C1516:C1531)*$N$5)</f>
        <v/>
      </c>
      <c r="J1531">
        <f>IF(C1531="","",J1530+$N$6*(C1531*$N$5-J1530))</f>
        <v/>
      </c>
      <c r="K1531">
        <f>IF(B1531="","",B1531-B1530)</f>
        <v/>
      </c>
    </row>
    <row r="1532">
      <c r="G1532">
        <f>IF(C1532="","",C1532*$N$5)</f>
        <v/>
      </c>
      <c r="H1532">
        <f>IF(C1532="","",AVERAGE(C1529:C1532)*$N$5)</f>
        <v/>
      </c>
      <c r="I1532">
        <f>IF(C1532="","",AVERAGE(C1517:C1532)*$N$5)</f>
        <v/>
      </c>
      <c r="J1532">
        <f>IF(C1532="","",J1531+$N$6*(C1532*$N$5-J1531))</f>
        <v/>
      </c>
      <c r="K1532">
        <f>IF(B1532="","",B1532-B1531)</f>
        <v/>
      </c>
    </row>
    <row r="1533">
      <c r="G1533">
        <f>IF(C1533="","",C1533*$N$5)</f>
        <v/>
      </c>
      <c r="H1533">
        <f>IF(C1533="","",AVERAGE(C1530:C1533)*$N$5)</f>
        <v/>
      </c>
      <c r="I1533">
        <f>IF(C1533="","",AVERAGE(C1518:C1533)*$N$5)</f>
        <v/>
      </c>
      <c r="J1533">
        <f>IF(C1533="","",J1532+$N$6*(C1533*$N$5-J1532))</f>
        <v/>
      </c>
      <c r="K1533">
        <f>IF(B1533="","",B1533-B1532)</f>
        <v/>
      </c>
    </row>
    <row r="1534">
      <c r="G1534">
        <f>IF(C1534="","",C1534*$N$5)</f>
        <v/>
      </c>
      <c r="H1534">
        <f>IF(C1534="","",AVERAGE(C1531:C1534)*$N$5)</f>
        <v/>
      </c>
      <c r="I1534">
        <f>IF(C1534="","",AVERAGE(C1519:C1534)*$N$5)</f>
        <v/>
      </c>
      <c r="J1534">
        <f>IF(C1534="","",J1533+$N$6*(C1534*$N$5-J1533))</f>
        <v/>
      </c>
      <c r="K1534">
        <f>IF(B1534="","",B1534-B1533)</f>
        <v/>
      </c>
    </row>
    <row r="1535">
      <c r="G1535">
        <f>IF(C1535="","",C1535*$N$5)</f>
        <v/>
      </c>
      <c r="H1535">
        <f>IF(C1535="","",AVERAGE(C1532:C1535)*$N$5)</f>
        <v/>
      </c>
      <c r="I1535">
        <f>IF(C1535="","",AVERAGE(C1520:C1535)*$N$5)</f>
        <v/>
      </c>
      <c r="J1535">
        <f>IF(C1535="","",J1534+$N$6*(C1535*$N$5-J1534))</f>
        <v/>
      </c>
      <c r="K1535">
        <f>IF(B1535="","",B1535-B1534)</f>
        <v/>
      </c>
    </row>
    <row r="1536">
      <c r="G1536">
        <f>IF(C1536="","",C1536*$N$5)</f>
        <v/>
      </c>
      <c r="H1536">
        <f>IF(C1536="","",AVERAGE(C1533:C1536)*$N$5)</f>
        <v/>
      </c>
      <c r="I1536">
        <f>IF(C1536="","",AVERAGE(C1521:C1536)*$N$5)</f>
        <v/>
      </c>
      <c r="J1536">
        <f>IF(C1536="","",J1535+$N$6*(C1536*$N$5-J1535))</f>
        <v/>
      </c>
      <c r="K1536">
        <f>IF(B1536="","",B1536-B1535)</f>
        <v/>
      </c>
    </row>
    <row r="1537">
      <c r="G1537">
        <f>IF(C1537="","",C1537*$N$5)</f>
        <v/>
      </c>
      <c r="H1537">
        <f>IF(C1537="","",AVERAGE(C1534:C1537)*$N$5)</f>
        <v/>
      </c>
      <c r="I1537">
        <f>IF(C1537="","",AVERAGE(C1522:C1537)*$N$5)</f>
        <v/>
      </c>
      <c r="J1537">
        <f>IF(C1537="","",J1536+$N$6*(C1537*$N$5-J1536))</f>
        <v/>
      </c>
      <c r="K1537">
        <f>IF(B1537="","",B1537-B1536)</f>
        <v/>
      </c>
    </row>
    <row r="1538">
      <c r="G1538">
        <f>IF(C1538="","",C1538*$N$5)</f>
        <v/>
      </c>
      <c r="H1538">
        <f>IF(C1538="","",AVERAGE(C1535:C1538)*$N$5)</f>
        <v/>
      </c>
      <c r="I1538">
        <f>IF(C1538="","",AVERAGE(C1523:C1538)*$N$5)</f>
        <v/>
      </c>
      <c r="J1538">
        <f>IF(C1538="","",J1537+$N$6*(C1538*$N$5-J1537))</f>
        <v/>
      </c>
      <c r="K1538">
        <f>IF(B1538="","",B1538-B1537)</f>
        <v/>
      </c>
    </row>
    <row r="1539">
      <c r="G1539">
        <f>IF(C1539="","",C1539*$N$5)</f>
        <v/>
      </c>
      <c r="H1539">
        <f>IF(C1539="","",AVERAGE(C1536:C1539)*$N$5)</f>
        <v/>
      </c>
      <c r="I1539">
        <f>IF(C1539="","",AVERAGE(C1524:C1539)*$N$5)</f>
        <v/>
      </c>
      <c r="J1539">
        <f>IF(C1539="","",J1538+$N$6*(C1539*$N$5-J1538))</f>
        <v/>
      </c>
      <c r="K1539">
        <f>IF(B1539="","",B1539-B1538)</f>
        <v/>
      </c>
    </row>
    <row r="1540">
      <c r="G1540">
        <f>IF(C1540="","",C1540*$N$5)</f>
        <v/>
      </c>
      <c r="H1540">
        <f>IF(C1540="","",AVERAGE(C1537:C1540)*$N$5)</f>
        <v/>
      </c>
      <c r="I1540">
        <f>IF(C1540="","",AVERAGE(C1525:C1540)*$N$5)</f>
        <v/>
      </c>
      <c r="J1540">
        <f>IF(C1540="","",J1539+$N$6*(C1540*$N$5-J1539))</f>
        <v/>
      </c>
      <c r="K1540">
        <f>IF(B1540="","",B1540-B1539)</f>
        <v/>
      </c>
    </row>
    <row r="1541">
      <c r="G1541">
        <f>IF(C1541="","",C1541*$N$5)</f>
        <v/>
      </c>
      <c r="H1541">
        <f>IF(C1541="","",AVERAGE(C1538:C1541)*$N$5)</f>
        <v/>
      </c>
      <c r="I1541">
        <f>IF(C1541="","",AVERAGE(C1526:C1541)*$N$5)</f>
        <v/>
      </c>
      <c r="J1541">
        <f>IF(C1541="","",J1540+$N$6*(C1541*$N$5-J1540))</f>
        <v/>
      </c>
      <c r="K1541">
        <f>IF(B1541="","",B1541-B1540)</f>
        <v/>
      </c>
    </row>
    <row r="1542">
      <c r="G1542">
        <f>IF(C1542="","",C1542*$N$5)</f>
        <v/>
      </c>
      <c r="H1542">
        <f>IF(C1542="","",AVERAGE(C1539:C1542)*$N$5)</f>
        <v/>
      </c>
      <c r="I1542">
        <f>IF(C1542="","",AVERAGE(C1527:C1542)*$N$5)</f>
        <v/>
      </c>
      <c r="J1542">
        <f>IF(C1542="","",J1541+$N$6*(C1542*$N$5-J1541))</f>
        <v/>
      </c>
      <c r="K1542">
        <f>IF(B1542="","",B1542-B1541)</f>
        <v/>
      </c>
    </row>
    <row r="1543">
      <c r="G1543">
        <f>IF(C1543="","",C1543*$N$5)</f>
        <v/>
      </c>
      <c r="H1543">
        <f>IF(C1543="","",AVERAGE(C1540:C1543)*$N$5)</f>
        <v/>
      </c>
      <c r="I1543">
        <f>IF(C1543="","",AVERAGE(C1528:C1543)*$N$5)</f>
        <v/>
      </c>
      <c r="J1543">
        <f>IF(C1543="","",J1542+$N$6*(C1543*$N$5-J1542))</f>
        <v/>
      </c>
      <c r="K1543">
        <f>IF(B1543="","",B1543-B1542)</f>
        <v/>
      </c>
    </row>
    <row r="1544">
      <c r="G1544">
        <f>IF(C1544="","",C1544*$N$5)</f>
        <v/>
      </c>
      <c r="H1544">
        <f>IF(C1544="","",AVERAGE(C1541:C1544)*$N$5)</f>
        <v/>
      </c>
      <c r="I1544">
        <f>IF(C1544="","",AVERAGE(C1529:C1544)*$N$5)</f>
        <v/>
      </c>
      <c r="J1544">
        <f>IF(C1544="","",J1543+$N$6*(C1544*$N$5-J1543))</f>
        <v/>
      </c>
      <c r="K1544">
        <f>IF(B1544="","",B1544-B1543)</f>
        <v/>
      </c>
    </row>
    <row r="1545">
      <c r="G1545">
        <f>IF(C1545="","",C1545*$N$5)</f>
        <v/>
      </c>
      <c r="H1545">
        <f>IF(C1545="","",AVERAGE(C1542:C1545)*$N$5)</f>
        <v/>
      </c>
      <c r="I1545">
        <f>IF(C1545="","",AVERAGE(C1530:C1545)*$N$5)</f>
        <v/>
      </c>
      <c r="J1545">
        <f>IF(C1545="","",J1544+$N$6*(C1545*$N$5-J1544))</f>
        <v/>
      </c>
      <c r="K1545">
        <f>IF(B1545="","",B1545-B1544)</f>
        <v/>
      </c>
    </row>
    <row r="1546">
      <c r="G1546">
        <f>IF(C1546="","",C1546*$N$5)</f>
        <v/>
      </c>
      <c r="H1546">
        <f>IF(C1546="","",AVERAGE(C1543:C1546)*$N$5)</f>
        <v/>
      </c>
      <c r="I1546">
        <f>IF(C1546="","",AVERAGE(C1531:C1546)*$N$5)</f>
        <v/>
      </c>
      <c r="J1546">
        <f>IF(C1546="","",J1545+$N$6*(C1546*$N$5-J1545))</f>
        <v/>
      </c>
      <c r="K1546">
        <f>IF(B1546="","",B1546-B1545)</f>
        <v/>
      </c>
    </row>
    <row r="1547">
      <c r="G1547">
        <f>IF(C1547="","",C1547*$N$5)</f>
        <v/>
      </c>
      <c r="H1547">
        <f>IF(C1547="","",AVERAGE(C1544:C1547)*$N$5)</f>
        <v/>
      </c>
      <c r="I1547">
        <f>IF(C1547="","",AVERAGE(C1532:C1547)*$N$5)</f>
        <v/>
      </c>
      <c r="J1547">
        <f>IF(C1547="","",J1546+$N$6*(C1547*$N$5-J1546))</f>
        <v/>
      </c>
      <c r="K1547">
        <f>IF(B1547="","",B1547-B1546)</f>
        <v/>
      </c>
    </row>
    <row r="1548">
      <c r="G1548">
        <f>IF(C1548="","",C1548*$N$5)</f>
        <v/>
      </c>
      <c r="H1548">
        <f>IF(C1548="","",AVERAGE(C1545:C1548)*$N$5)</f>
        <v/>
      </c>
      <c r="I1548">
        <f>IF(C1548="","",AVERAGE(C1533:C1548)*$N$5)</f>
        <v/>
      </c>
      <c r="J1548">
        <f>IF(C1548="","",J1547+$N$6*(C1548*$N$5-J1547))</f>
        <v/>
      </c>
      <c r="K1548">
        <f>IF(B1548="","",B1548-B1547)</f>
        <v/>
      </c>
    </row>
    <row r="1549">
      <c r="G1549">
        <f>IF(C1549="","",C1549*$N$5)</f>
        <v/>
      </c>
      <c r="H1549">
        <f>IF(C1549="","",AVERAGE(C1546:C1549)*$N$5)</f>
        <v/>
      </c>
      <c r="I1549">
        <f>IF(C1549="","",AVERAGE(C1534:C1549)*$N$5)</f>
        <v/>
      </c>
      <c r="J1549">
        <f>IF(C1549="","",J1548+$N$6*(C1549*$N$5-J1548))</f>
        <v/>
      </c>
      <c r="K1549">
        <f>IF(B1549="","",B1549-B1548)</f>
        <v/>
      </c>
    </row>
    <row r="1550">
      <c r="G1550">
        <f>IF(C1550="","",C1550*$N$5)</f>
        <v/>
      </c>
      <c r="H1550">
        <f>IF(C1550="","",AVERAGE(C1547:C1550)*$N$5)</f>
        <v/>
      </c>
      <c r="I1550">
        <f>IF(C1550="","",AVERAGE(C1535:C1550)*$N$5)</f>
        <v/>
      </c>
      <c r="J1550">
        <f>IF(C1550="","",J1549+$N$6*(C1550*$N$5-J1549))</f>
        <v/>
      </c>
      <c r="K1550">
        <f>IF(B1550="","",B1550-B1549)</f>
        <v/>
      </c>
    </row>
    <row r="1551">
      <c r="G1551">
        <f>IF(C1551="","",C1551*$N$5)</f>
        <v/>
      </c>
      <c r="H1551">
        <f>IF(C1551="","",AVERAGE(C1548:C1551)*$N$5)</f>
        <v/>
      </c>
      <c r="I1551">
        <f>IF(C1551="","",AVERAGE(C1536:C1551)*$N$5)</f>
        <v/>
      </c>
      <c r="J1551">
        <f>IF(C1551="","",J1550+$N$6*(C1551*$N$5-J1550))</f>
        <v/>
      </c>
      <c r="K1551">
        <f>IF(B1551="","",B1551-B1550)</f>
        <v/>
      </c>
    </row>
    <row r="1552">
      <c r="G1552">
        <f>IF(C1552="","",C1552*$N$5)</f>
        <v/>
      </c>
      <c r="H1552">
        <f>IF(C1552="","",AVERAGE(C1549:C1552)*$N$5)</f>
        <v/>
      </c>
      <c r="I1552">
        <f>IF(C1552="","",AVERAGE(C1537:C1552)*$N$5)</f>
        <v/>
      </c>
      <c r="J1552">
        <f>IF(C1552="","",J1551+$N$6*(C1552*$N$5-J1551))</f>
        <v/>
      </c>
      <c r="K1552">
        <f>IF(B1552="","",B1552-B1551)</f>
        <v/>
      </c>
    </row>
    <row r="1553">
      <c r="G1553">
        <f>IF(C1553="","",C1553*$N$5)</f>
        <v/>
      </c>
      <c r="H1553">
        <f>IF(C1553="","",AVERAGE(C1550:C1553)*$N$5)</f>
        <v/>
      </c>
      <c r="I1553">
        <f>IF(C1553="","",AVERAGE(C1538:C1553)*$N$5)</f>
        <v/>
      </c>
      <c r="J1553">
        <f>IF(C1553="","",J1552+$N$6*(C1553*$N$5-J1552))</f>
        <v/>
      </c>
      <c r="K1553">
        <f>IF(B1553="","",B1553-B1552)</f>
        <v/>
      </c>
    </row>
    <row r="1554">
      <c r="G1554">
        <f>IF(C1554="","",C1554*$N$5)</f>
        <v/>
      </c>
      <c r="H1554">
        <f>IF(C1554="","",AVERAGE(C1551:C1554)*$N$5)</f>
        <v/>
      </c>
      <c r="I1554">
        <f>IF(C1554="","",AVERAGE(C1539:C1554)*$N$5)</f>
        <v/>
      </c>
      <c r="J1554">
        <f>IF(C1554="","",J1553+$N$6*(C1554*$N$5-J1553))</f>
        <v/>
      </c>
      <c r="K1554">
        <f>IF(B1554="","",B1554-B1553)</f>
        <v/>
      </c>
    </row>
    <row r="1555">
      <c r="G1555">
        <f>IF(C1555="","",C1555*$N$5)</f>
        <v/>
      </c>
      <c r="H1555">
        <f>IF(C1555="","",AVERAGE(C1552:C1555)*$N$5)</f>
        <v/>
      </c>
      <c r="I1555">
        <f>IF(C1555="","",AVERAGE(C1540:C1555)*$N$5)</f>
        <v/>
      </c>
      <c r="J1555">
        <f>IF(C1555="","",J1554+$N$6*(C1555*$N$5-J1554))</f>
        <v/>
      </c>
      <c r="K1555">
        <f>IF(B1555="","",B1555-B1554)</f>
        <v/>
      </c>
    </row>
    <row r="1556">
      <c r="G1556">
        <f>IF(C1556="","",C1556*$N$5)</f>
        <v/>
      </c>
      <c r="H1556">
        <f>IF(C1556="","",AVERAGE(C1553:C1556)*$N$5)</f>
        <v/>
      </c>
      <c r="I1556">
        <f>IF(C1556="","",AVERAGE(C1541:C1556)*$N$5)</f>
        <v/>
      </c>
      <c r="J1556">
        <f>IF(C1556="","",J1555+$N$6*(C1556*$N$5-J1555))</f>
        <v/>
      </c>
      <c r="K1556">
        <f>IF(B1556="","",B1556-B1555)</f>
        <v/>
      </c>
    </row>
    <row r="1557">
      <c r="G1557">
        <f>IF(C1557="","",C1557*$N$5)</f>
        <v/>
      </c>
      <c r="H1557">
        <f>IF(C1557="","",AVERAGE(C1554:C1557)*$N$5)</f>
        <v/>
      </c>
      <c r="I1557">
        <f>IF(C1557="","",AVERAGE(C1542:C1557)*$N$5)</f>
        <v/>
      </c>
      <c r="J1557">
        <f>IF(C1557="","",J1556+$N$6*(C1557*$N$5-J1556))</f>
        <v/>
      </c>
      <c r="K1557">
        <f>IF(B1557="","",B1557-B1556)</f>
        <v/>
      </c>
    </row>
    <row r="1558">
      <c r="G1558">
        <f>IF(C1558="","",C1558*$N$5)</f>
        <v/>
      </c>
      <c r="H1558">
        <f>IF(C1558="","",AVERAGE(C1555:C1558)*$N$5)</f>
        <v/>
      </c>
      <c r="I1558">
        <f>IF(C1558="","",AVERAGE(C1543:C1558)*$N$5)</f>
        <v/>
      </c>
      <c r="J1558">
        <f>IF(C1558="","",J1557+$N$6*(C1558*$N$5-J1557))</f>
        <v/>
      </c>
      <c r="K1558">
        <f>IF(B1558="","",B1558-B1557)</f>
        <v/>
      </c>
    </row>
    <row r="1559">
      <c r="G1559">
        <f>IF(C1559="","",C1559*$N$5)</f>
        <v/>
      </c>
      <c r="H1559">
        <f>IF(C1559="","",AVERAGE(C1556:C1559)*$N$5)</f>
        <v/>
      </c>
      <c r="I1559">
        <f>IF(C1559="","",AVERAGE(C1544:C1559)*$N$5)</f>
        <v/>
      </c>
      <c r="J1559">
        <f>IF(C1559="","",J1558+$N$6*(C1559*$N$5-J1558))</f>
        <v/>
      </c>
      <c r="K1559">
        <f>IF(B1559="","",B1559-B1558)</f>
        <v/>
      </c>
    </row>
    <row r="1560">
      <c r="G1560">
        <f>IF(C1560="","",C1560*$N$5)</f>
        <v/>
      </c>
      <c r="H1560">
        <f>IF(C1560="","",AVERAGE(C1557:C1560)*$N$5)</f>
        <v/>
      </c>
      <c r="I1560">
        <f>IF(C1560="","",AVERAGE(C1545:C1560)*$N$5)</f>
        <v/>
      </c>
      <c r="J1560">
        <f>IF(C1560="","",J1559+$N$6*(C1560*$N$5-J1559))</f>
        <v/>
      </c>
      <c r="K1560">
        <f>IF(B1560="","",B1560-B1559)</f>
        <v/>
      </c>
    </row>
    <row r="1561">
      <c r="G1561">
        <f>IF(C1561="","",C1561*$N$5)</f>
        <v/>
      </c>
      <c r="H1561">
        <f>IF(C1561="","",AVERAGE(C1558:C1561)*$N$5)</f>
        <v/>
      </c>
      <c r="I1561">
        <f>IF(C1561="","",AVERAGE(C1546:C1561)*$N$5)</f>
        <v/>
      </c>
      <c r="J1561">
        <f>IF(C1561="","",J1560+$N$6*(C1561*$N$5-J1560))</f>
        <v/>
      </c>
      <c r="K1561">
        <f>IF(B1561="","",B1561-B1560)</f>
        <v/>
      </c>
    </row>
    <row r="1562">
      <c r="G1562">
        <f>IF(C1562="","",C1562*$N$5)</f>
        <v/>
      </c>
      <c r="H1562">
        <f>IF(C1562="","",AVERAGE(C1559:C1562)*$N$5)</f>
        <v/>
      </c>
      <c r="I1562">
        <f>IF(C1562="","",AVERAGE(C1547:C1562)*$N$5)</f>
        <v/>
      </c>
      <c r="J1562">
        <f>IF(C1562="","",J1561+$N$6*(C1562*$N$5-J1561))</f>
        <v/>
      </c>
      <c r="K1562">
        <f>IF(B1562="","",B1562-B1561)</f>
        <v/>
      </c>
    </row>
    <row r="1563">
      <c r="G1563">
        <f>IF(C1563="","",C1563*$N$5)</f>
        <v/>
      </c>
      <c r="H1563">
        <f>IF(C1563="","",AVERAGE(C1560:C1563)*$N$5)</f>
        <v/>
      </c>
      <c r="I1563">
        <f>IF(C1563="","",AVERAGE(C1548:C1563)*$N$5)</f>
        <v/>
      </c>
      <c r="J1563">
        <f>IF(C1563="","",J1562+$N$6*(C1563*$N$5-J1562))</f>
        <v/>
      </c>
      <c r="K1563">
        <f>IF(B1563="","",B1563-B1562)</f>
        <v/>
      </c>
    </row>
    <row r="1564">
      <c r="G1564">
        <f>IF(C1564="","",C1564*$N$5)</f>
        <v/>
      </c>
      <c r="H1564">
        <f>IF(C1564="","",AVERAGE(C1561:C1564)*$N$5)</f>
        <v/>
      </c>
      <c r="I1564">
        <f>IF(C1564="","",AVERAGE(C1549:C1564)*$N$5)</f>
        <v/>
      </c>
      <c r="J1564">
        <f>IF(C1564="","",J1563+$N$6*(C1564*$N$5-J1563))</f>
        <v/>
      </c>
      <c r="K1564">
        <f>IF(B1564="","",B1564-B1563)</f>
        <v/>
      </c>
    </row>
    <row r="1565">
      <c r="G1565">
        <f>IF(C1565="","",C1565*$N$5)</f>
        <v/>
      </c>
      <c r="H1565">
        <f>IF(C1565="","",AVERAGE(C1562:C1565)*$N$5)</f>
        <v/>
      </c>
      <c r="I1565">
        <f>IF(C1565="","",AVERAGE(C1550:C1565)*$N$5)</f>
        <v/>
      </c>
      <c r="J1565">
        <f>IF(C1565="","",J1564+$N$6*(C1565*$N$5-J1564))</f>
        <v/>
      </c>
      <c r="K1565">
        <f>IF(B1565="","",B1565-B1564)</f>
        <v/>
      </c>
    </row>
    <row r="1566">
      <c r="G1566">
        <f>IF(C1566="","",C1566*$N$5)</f>
        <v/>
      </c>
      <c r="H1566">
        <f>IF(C1566="","",AVERAGE(C1563:C1566)*$N$5)</f>
        <v/>
      </c>
      <c r="I1566">
        <f>IF(C1566="","",AVERAGE(C1551:C1566)*$N$5)</f>
        <v/>
      </c>
      <c r="J1566">
        <f>IF(C1566="","",J1565+$N$6*(C1566*$N$5-J1565))</f>
        <v/>
      </c>
      <c r="K1566">
        <f>IF(B1566="","",B1566-B1565)</f>
        <v/>
      </c>
    </row>
    <row r="1567">
      <c r="G1567">
        <f>IF(C1567="","",C1567*$N$5)</f>
        <v/>
      </c>
      <c r="H1567">
        <f>IF(C1567="","",AVERAGE(C1564:C1567)*$N$5)</f>
        <v/>
      </c>
      <c r="I1567">
        <f>IF(C1567="","",AVERAGE(C1552:C1567)*$N$5)</f>
        <v/>
      </c>
      <c r="J1567">
        <f>IF(C1567="","",J1566+$N$6*(C1567*$N$5-J1566))</f>
        <v/>
      </c>
      <c r="K1567">
        <f>IF(B1567="","",B1567-B1566)</f>
        <v/>
      </c>
    </row>
    <row r="1568">
      <c r="G1568">
        <f>IF(C1568="","",C1568*$N$5)</f>
        <v/>
      </c>
      <c r="H1568">
        <f>IF(C1568="","",AVERAGE(C1565:C1568)*$N$5)</f>
        <v/>
      </c>
      <c r="I1568">
        <f>IF(C1568="","",AVERAGE(C1553:C1568)*$N$5)</f>
        <v/>
      </c>
      <c r="J1568">
        <f>IF(C1568="","",J1567+$N$6*(C1568*$N$5-J1567))</f>
        <v/>
      </c>
      <c r="K1568">
        <f>IF(B1568="","",B1568-B1567)</f>
        <v/>
      </c>
    </row>
    <row r="1569">
      <c r="G1569">
        <f>IF(C1569="","",C1569*$N$5)</f>
        <v/>
      </c>
      <c r="H1569">
        <f>IF(C1569="","",AVERAGE(C1566:C1569)*$N$5)</f>
        <v/>
      </c>
      <c r="I1569">
        <f>IF(C1569="","",AVERAGE(C1554:C1569)*$N$5)</f>
        <v/>
      </c>
      <c r="J1569">
        <f>IF(C1569="","",J1568+$N$6*(C1569*$N$5-J1568))</f>
        <v/>
      </c>
      <c r="K1569">
        <f>IF(B1569="","",B1569-B1568)</f>
        <v/>
      </c>
    </row>
    <row r="1570">
      <c r="G1570">
        <f>IF(C1570="","",C1570*$N$5)</f>
        <v/>
      </c>
      <c r="H1570">
        <f>IF(C1570="","",AVERAGE(C1567:C1570)*$N$5)</f>
        <v/>
      </c>
      <c r="I1570">
        <f>IF(C1570="","",AVERAGE(C1555:C1570)*$N$5)</f>
        <v/>
      </c>
      <c r="J1570">
        <f>IF(C1570="","",J1569+$N$6*(C1570*$N$5-J1569))</f>
        <v/>
      </c>
      <c r="K1570">
        <f>IF(B1570="","",B1570-B1569)</f>
        <v/>
      </c>
    </row>
    <row r="1571">
      <c r="G1571">
        <f>IF(C1571="","",C1571*$N$5)</f>
        <v/>
      </c>
      <c r="H1571">
        <f>IF(C1571="","",AVERAGE(C1568:C1571)*$N$5)</f>
        <v/>
      </c>
      <c r="I1571">
        <f>IF(C1571="","",AVERAGE(C1556:C1571)*$N$5)</f>
        <v/>
      </c>
      <c r="J1571">
        <f>IF(C1571="","",J1570+$N$6*(C1571*$N$5-J1570))</f>
        <v/>
      </c>
      <c r="K1571">
        <f>IF(B1571="","",B1571-B1570)</f>
        <v/>
      </c>
    </row>
    <row r="1572">
      <c r="G1572">
        <f>IF(C1572="","",C1572*$N$5)</f>
        <v/>
      </c>
      <c r="H1572">
        <f>IF(C1572="","",AVERAGE(C1569:C1572)*$N$5)</f>
        <v/>
      </c>
      <c r="I1572">
        <f>IF(C1572="","",AVERAGE(C1557:C1572)*$N$5)</f>
        <v/>
      </c>
      <c r="J1572">
        <f>IF(C1572="","",J1571+$N$6*(C1572*$N$5-J1571))</f>
        <v/>
      </c>
      <c r="K1572">
        <f>IF(B1572="","",B1572-B1571)</f>
        <v/>
      </c>
    </row>
    <row r="1573">
      <c r="G1573">
        <f>IF(C1573="","",C1573*$N$5)</f>
        <v/>
      </c>
      <c r="H1573">
        <f>IF(C1573="","",AVERAGE(C1570:C1573)*$N$5)</f>
        <v/>
      </c>
      <c r="I1573">
        <f>IF(C1573="","",AVERAGE(C1558:C1573)*$N$5)</f>
        <v/>
      </c>
      <c r="J1573">
        <f>IF(C1573="","",J1572+$N$6*(C1573*$N$5-J1572))</f>
        <v/>
      </c>
      <c r="K1573">
        <f>IF(B1573="","",B1573-B1572)</f>
        <v/>
      </c>
    </row>
    <row r="1574">
      <c r="G1574">
        <f>IF(C1574="","",C1574*$N$5)</f>
        <v/>
      </c>
      <c r="H1574">
        <f>IF(C1574="","",AVERAGE(C1571:C1574)*$N$5)</f>
        <v/>
      </c>
      <c r="I1574">
        <f>IF(C1574="","",AVERAGE(C1559:C1574)*$N$5)</f>
        <v/>
      </c>
      <c r="J1574">
        <f>IF(C1574="","",J1573+$N$6*(C1574*$N$5-J1573))</f>
        <v/>
      </c>
      <c r="K1574">
        <f>IF(B1574="","",B1574-B1573)</f>
        <v/>
      </c>
    </row>
    <row r="1575">
      <c r="G1575">
        <f>IF(C1575="","",C1575*$N$5)</f>
        <v/>
      </c>
      <c r="H1575">
        <f>IF(C1575="","",AVERAGE(C1572:C1575)*$N$5)</f>
        <v/>
      </c>
      <c r="I1575">
        <f>IF(C1575="","",AVERAGE(C1560:C1575)*$N$5)</f>
        <v/>
      </c>
      <c r="J1575">
        <f>IF(C1575="","",J1574+$N$6*(C1575*$N$5-J1574))</f>
        <v/>
      </c>
      <c r="K1575">
        <f>IF(B1575="","",B1575-B1574)</f>
        <v/>
      </c>
    </row>
    <row r="1576">
      <c r="G1576">
        <f>IF(C1576="","",C1576*$N$5)</f>
        <v/>
      </c>
      <c r="H1576">
        <f>IF(C1576="","",AVERAGE(C1573:C1576)*$N$5)</f>
        <v/>
      </c>
      <c r="I1576">
        <f>IF(C1576="","",AVERAGE(C1561:C1576)*$N$5)</f>
        <v/>
      </c>
      <c r="J1576">
        <f>IF(C1576="","",J1575+$N$6*(C1576*$N$5-J1575))</f>
        <v/>
      </c>
      <c r="K1576">
        <f>IF(B1576="","",B1576-B1575)</f>
        <v/>
      </c>
    </row>
    <row r="1577">
      <c r="G1577">
        <f>IF(C1577="","",C1577*$N$5)</f>
        <v/>
      </c>
      <c r="H1577">
        <f>IF(C1577="","",AVERAGE(C1574:C1577)*$N$5)</f>
        <v/>
      </c>
      <c r="I1577">
        <f>IF(C1577="","",AVERAGE(C1562:C1577)*$N$5)</f>
        <v/>
      </c>
      <c r="J1577">
        <f>IF(C1577="","",J1576+$N$6*(C1577*$N$5-J1576))</f>
        <v/>
      </c>
      <c r="K1577">
        <f>IF(B1577="","",B1577-B1576)</f>
        <v/>
      </c>
    </row>
    <row r="1578">
      <c r="G1578">
        <f>IF(C1578="","",C1578*$N$5)</f>
        <v/>
      </c>
      <c r="H1578">
        <f>IF(C1578="","",AVERAGE(C1575:C1578)*$N$5)</f>
        <v/>
      </c>
      <c r="I1578">
        <f>IF(C1578="","",AVERAGE(C1563:C1578)*$N$5)</f>
        <v/>
      </c>
      <c r="J1578">
        <f>IF(C1578="","",J1577+$N$6*(C1578*$N$5-J1577))</f>
        <v/>
      </c>
      <c r="K1578">
        <f>IF(B1578="","",B1578-B1577)</f>
        <v/>
      </c>
    </row>
    <row r="1579">
      <c r="G1579">
        <f>IF(C1579="","",C1579*$N$5)</f>
        <v/>
      </c>
      <c r="H1579">
        <f>IF(C1579="","",AVERAGE(C1576:C1579)*$N$5)</f>
        <v/>
      </c>
      <c r="I1579">
        <f>IF(C1579="","",AVERAGE(C1564:C1579)*$N$5)</f>
        <v/>
      </c>
      <c r="J1579">
        <f>IF(C1579="","",J1578+$N$6*(C1579*$N$5-J1578))</f>
        <v/>
      </c>
      <c r="K1579">
        <f>IF(B1579="","",B1579-B1578)</f>
        <v/>
      </c>
    </row>
    <row r="1580">
      <c r="G1580">
        <f>IF(C1580="","",C1580*$N$5)</f>
        <v/>
      </c>
      <c r="H1580">
        <f>IF(C1580="","",AVERAGE(C1577:C1580)*$N$5)</f>
        <v/>
      </c>
      <c r="I1580">
        <f>IF(C1580="","",AVERAGE(C1565:C1580)*$N$5)</f>
        <v/>
      </c>
      <c r="J1580">
        <f>IF(C1580="","",J1579+$N$6*(C1580*$N$5-J1579))</f>
        <v/>
      </c>
      <c r="K1580">
        <f>IF(B1580="","",B1580-B1579)</f>
        <v/>
      </c>
    </row>
    <row r="1581">
      <c r="G1581">
        <f>IF(C1581="","",C1581*$N$5)</f>
        <v/>
      </c>
      <c r="H1581">
        <f>IF(C1581="","",AVERAGE(C1578:C1581)*$N$5)</f>
        <v/>
      </c>
      <c r="I1581">
        <f>IF(C1581="","",AVERAGE(C1566:C1581)*$N$5)</f>
        <v/>
      </c>
      <c r="J1581">
        <f>IF(C1581="","",J1580+$N$6*(C1581*$N$5-J1580))</f>
        <v/>
      </c>
      <c r="K1581">
        <f>IF(B1581="","",B1581-B1580)</f>
        <v/>
      </c>
    </row>
    <row r="1582">
      <c r="G1582">
        <f>IF(C1582="","",C1582*$N$5)</f>
        <v/>
      </c>
      <c r="H1582">
        <f>IF(C1582="","",AVERAGE(C1579:C1582)*$N$5)</f>
        <v/>
      </c>
      <c r="I1582">
        <f>IF(C1582="","",AVERAGE(C1567:C1582)*$N$5)</f>
        <v/>
      </c>
      <c r="J1582">
        <f>IF(C1582="","",J1581+$N$6*(C1582*$N$5-J1581))</f>
        <v/>
      </c>
      <c r="K1582">
        <f>IF(B1582="","",B1582-B1581)</f>
        <v/>
      </c>
    </row>
    <row r="1583">
      <c r="G1583">
        <f>IF(C1583="","",C1583*$N$5)</f>
        <v/>
      </c>
      <c r="H1583">
        <f>IF(C1583="","",AVERAGE(C1580:C1583)*$N$5)</f>
        <v/>
      </c>
      <c r="I1583">
        <f>IF(C1583="","",AVERAGE(C1568:C1583)*$N$5)</f>
        <v/>
      </c>
      <c r="J1583">
        <f>IF(C1583="","",J1582+$N$6*(C1583*$N$5-J1582))</f>
        <v/>
      </c>
      <c r="K1583">
        <f>IF(B1583="","",B1583-B1582)</f>
        <v/>
      </c>
    </row>
    <row r="1584">
      <c r="G1584">
        <f>IF(C1584="","",C1584*$N$5)</f>
        <v/>
      </c>
      <c r="H1584">
        <f>IF(C1584="","",AVERAGE(C1581:C1584)*$N$5)</f>
        <v/>
      </c>
      <c r="I1584">
        <f>IF(C1584="","",AVERAGE(C1569:C1584)*$N$5)</f>
        <v/>
      </c>
      <c r="J1584">
        <f>IF(C1584="","",J1583+$N$6*(C1584*$N$5-J1583))</f>
        <v/>
      </c>
      <c r="K1584">
        <f>IF(B1584="","",B1584-B1583)</f>
        <v/>
      </c>
    </row>
    <row r="1585">
      <c r="G1585">
        <f>IF(C1585="","",C1585*$N$5)</f>
        <v/>
      </c>
      <c r="H1585">
        <f>IF(C1585="","",AVERAGE(C1582:C1585)*$N$5)</f>
        <v/>
      </c>
      <c r="I1585">
        <f>IF(C1585="","",AVERAGE(C1570:C1585)*$N$5)</f>
        <v/>
      </c>
      <c r="J1585">
        <f>IF(C1585="","",J1584+$N$6*(C1585*$N$5-J1584))</f>
        <v/>
      </c>
      <c r="K1585">
        <f>IF(B1585="","",B1585-B1584)</f>
        <v/>
      </c>
    </row>
    <row r="1586">
      <c r="G1586">
        <f>IF(C1586="","",C1586*$N$5)</f>
        <v/>
      </c>
      <c r="H1586">
        <f>IF(C1586="","",AVERAGE(C1583:C1586)*$N$5)</f>
        <v/>
      </c>
      <c r="I1586">
        <f>IF(C1586="","",AVERAGE(C1571:C1586)*$N$5)</f>
        <v/>
      </c>
      <c r="J1586">
        <f>IF(C1586="","",J1585+$N$6*(C1586*$N$5-J1585))</f>
        <v/>
      </c>
      <c r="K1586">
        <f>IF(B1586="","",B1586-B1585)</f>
        <v/>
      </c>
    </row>
    <row r="1587">
      <c r="G1587">
        <f>IF(C1587="","",C1587*$N$5)</f>
        <v/>
      </c>
      <c r="H1587">
        <f>IF(C1587="","",AVERAGE(C1584:C1587)*$N$5)</f>
        <v/>
      </c>
      <c r="I1587">
        <f>IF(C1587="","",AVERAGE(C1572:C1587)*$N$5)</f>
        <v/>
      </c>
      <c r="J1587">
        <f>IF(C1587="","",J1586+$N$6*(C1587*$N$5-J1586))</f>
        <v/>
      </c>
      <c r="K1587">
        <f>IF(B1587="","",B1587-B1586)</f>
        <v/>
      </c>
    </row>
    <row r="1588">
      <c r="G1588">
        <f>IF(C1588="","",C1588*$N$5)</f>
        <v/>
      </c>
      <c r="H1588">
        <f>IF(C1588="","",AVERAGE(C1585:C1588)*$N$5)</f>
        <v/>
      </c>
      <c r="I1588">
        <f>IF(C1588="","",AVERAGE(C1573:C1588)*$N$5)</f>
        <v/>
      </c>
      <c r="J1588">
        <f>IF(C1588="","",J1587+$N$6*(C1588*$N$5-J1587))</f>
        <v/>
      </c>
      <c r="K1588">
        <f>IF(B1588="","",B1588-B1587)</f>
        <v/>
      </c>
    </row>
    <row r="1589">
      <c r="G1589">
        <f>IF(C1589="","",C1589*$N$5)</f>
        <v/>
      </c>
      <c r="H1589">
        <f>IF(C1589="","",AVERAGE(C1586:C1589)*$N$5)</f>
        <v/>
      </c>
      <c r="I1589">
        <f>IF(C1589="","",AVERAGE(C1574:C1589)*$N$5)</f>
        <v/>
      </c>
      <c r="J1589">
        <f>IF(C1589="","",J1588+$N$6*(C1589*$N$5-J1588))</f>
        <v/>
      </c>
      <c r="K1589">
        <f>IF(B1589="","",B1589-B1588)</f>
        <v/>
      </c>
    </row>
    <row r="1590">
      <c r="G1590">
        <f>IF(C1590="","",C1590*$N$5)</f>
        <v/>
      </c>
      <c r="H1590">
        <f>IF(C1590="","",AVERAGE(C1587:C1590)*$N$5)</f>
        <v/>
      </c>
      <c r="I1590">
        <f>IF(C1590="","",AVERAGE(C1575:C1590)*$N$5)</f>
        <v/>
      </c>
      <c r="J1590">
        <f>IF(C1590="","",J1589+$N$6*(C1590*$N$5-J1589))</f>
        <v/>
      </c>
      <c r="K1590">
        <f>IF(B1590="","",B1590-B1589)</f>
        <v/>
      </c>
    </row>
    <row r="1591">
      <c r="G1591">
        <f>IF(C1591="","",C1591*$N$5)</f>
        <v/>
      </c>
      <c r="H1591">
        <f>IF(C1591="","",AVERAGE(C1588:C1591)*$N$5)</f>
        <v/>
      </c>
      <c r="I1591">
        <f>IF(C1591="","",AVERAGE(C1576:C1591)*$N$5)</f>
        <v/>
      </c>
      <c r="J1591">
        <f>IF(C1591="","",J1590+$N$6*(C1591*$N$5-J1590))</f>
        <v/>
      </c>
      <c r="K1591">
        <f>IF(B1591="","",B1591-B1590)</f>
        <v/>
      </c>
    </row>
    <row r="1592">
      <c r="G1592">
        <f>IF(C1592="","",C1592*$N$5)</f>
        <v/>
      </c>
      <c r="H1592">
        <f>IF(C1592="","",AVERAGE(C1589:C1592)*$N$5)</f>
        <v/>
      </c>
      <c r="I1592">
        <f>IF(C1592="","",AVERAGE(C1577:C1592)*$N$5)</f>
        <v/>
      </c>
      <c r="J1592">
        <f>IF(C1592="","",J1591+$N$6*(C1592*$N$5-J1591))</f>
        <v/>
      </c>
      <c r="K1592">
        <f>IF(B1592="","",B1592-B1591)</f>
        <v/>
      </c>
    </row>
    <row r="1593">
      <c r="G1593">
        <f>IF(C1593="","",C1593*$N$5)</f>
        <v/>
      </c>
      <c r="H1593">
        <f>IF(C1593="","",AVERAGE(C1590:C1593)*$N$5)</f>
        <v/>
      </c>
      <c r="I1593">
        <f>IF(C1593="","",AVERAGE(C1578:C1593)*$N$5)</f>
        <v/>
      </c>
      <c r="J1593">
        <f>IF(C1593="","",J1592+$N$6*(C1593*$N$5-J1592))</f>
        <v/>
      </c>
      <c r="K1593">
        <f>IF(B1593="","",B1593-B1592)</f>
        <v/>
      </c>
    </row>
    <row r="1594">
      <c r="G1594">
        <f>IF(C1594="","",C1594*$N$5)</f>
        <v/>
      </c>
      <c r="H1594">
        <f>IF(C1594="","",AVERAGE(C1591:C1594)*$N$5)</f>
        <v/>
      </c>
      <c r="I1594">
        <f>IF(C1594="","",AVERAGE(C1579:C1594)*$N$5)</f>
        <v/>
      </c>
      <c r="J1594">
        <f>IF(C1594="","",J1593+$N$6*(C1594*$N$5-J1593))</f>
        <v/>
      </c>
      <c r="K1594">
        <f>IF(B1594="","",B1594-B1593)</f>
        <v/>
      </c>
    </row>
    <row r="1595">
      <c r="G1595">
        <f>IF(C1595="","",C1595*$N$5)</f>
        <v/>
      </c>
      <c r="H1595">
        <f>IF(C1595="","",AVERAGE(C1592:C1595)*$N$5)</f>
        <v/>
      </c>
      <c r="I1595">
        <f>IF(C1595="","",AVERAGE(C1580:C1595)*$N$5)</f>
        <v/>
      </c>
      <c r="J1595">
        <f>IF(C1595="","",J1594+$N$6*(C1595*$N$5-J1594))</f>
        <v/>
      </c>
      <c r="K1595">
        <f>IF(B1595="","",B1595-B1594)</f>
        <v/>
      </c>
    </row>
    <row r="1596">
      <c r="G1596">
        <f>IF(C1596="","",C1596*$N$5)</f>
        <v/>
      </c>
      <c r="H1596">
        <f>IF(C1596="","",AVERAGE(C1593:C1596)*$N$5)</f>
        <v/>
      </c>
      <c r="I1596">
        <f>IF(C1596="","",AVERAGE(C1581:C1596)*$N$5)</f>
        <v/>
      </c>
      <c r="J1596">
        <f>IF(C1596="","",J1595+$N$6*(C1596*$N$5-J1595))</f>
        <v/>
      </c>
      <c r="K1596">
        <f>IF(B1596="","",B1596-B1595)</f>
        <v/>
      </c>
    </row>
    <row r="1597">
      <c r="G1597">
        <f>IF(C1597="","",C1597*$N$5)</f>
        <v/>
      </c>
      <c r="H1597">
        <f>IF(C1597="","",AVERAGE(C1594:C1597)*$N$5)</f>
        <v/>
      </c>
      <c r="I1597">
        <f>IF(C1597="","",AVERAGE(C1582:C1597)*$N$5)</f>
        <v/>
      </c>
      <c r="J1597">
        <f>IF(C1597="","",J1596+$N$6*(C1597*$N$5-J1596))</f>
        <v/>
      </c>
      <c r="K1597">
        <f>IF(B1597="","",B1597-B1596)</f>
        <v/>
      </c>
    </row>
    <row r="1598">
      <c r="G1598">
        <f>IF(C1598="","",C1598*$N$5)</f>
        <v/>
      </c>
      <c r="H1598">
        <f>IF(C1598="","",AVERAGE(C1595:C1598)*$N$5)</f>
        <v/>
      </c>
      <c r="I1598">
        <f>IF(C1598="","",AVERAGE(C1583:C1598)*$N$5)</f>
        <v/>
      </c>
      <c r="J1598">
        <f>IF(C1598="","",J1597+$N$6*(C1598*$N$5-J1597))</f>
        <v/>
      </c>
      <c r="K1598">
        <f>IF(B1598="","",B1598-B1597)</f>
        <v/>
      </c>
    </row>
    <row r="1599">
      <c r="G1599">
        <f>IF(C1599="","",C1599*$N$5)</f>
        <v/>
      </c>
      <c r="H1599">
        <f>IF(C1599="","",AVERAGE(C1596:C1599)*$N$5)</f>
        <v/>
      </c>
      <c r="I1599">
        <f>IF(C1599="","",AVERAGE(C1584:C1599)*$N$5)</f>
        <v/>
      </c>
      <c r="J1599">
        <f>IF(C1599="","",J1598+$N$6*(C1599*$N$5-J1598))</f>
        <v/>
      </c>
      <c r="K1599">
        <f>IF(B1599="","",B1599-B1598)</f>
        <v/>
      </c>
    </row>
    <row r="1600">
      <c r="G1600">
        <f>IF(C1600="","",C1600*$N$5)</f>
        <v/>
      </c>
      <c r="H1600">
        <f>IF(C1600="","",AVERAGE(C1597:C1600)*$N$5)</f>
        <v/>
      </c>
      <c r="I1600">
        <f>IF(C1600="","",AVERAGE(C1585:C1600)*$N$5)</f>
        <v/>
      </c>
      <c r="J1600">
        <f>IF(C1600="","",J1599+$N$6*(C1600*$N$5-J1599))</f>
        <v/>
      </c>
      <c r="K1600">
        <f>IF(B1600="","",B1600-B1599)</f>
        <v/>
      </c>
    </row>
    <row r="1601">
      <c r="G1601">
        <f>IF(C1601="","",C1601*$N$5)</f>
        <v/>
      </c>
      <c r="H1601">
        <f>IF(C1601="","",AVERAGE(C1598:C1601)*$N$5)</f>
        <v/>
      </c>
      <c r="I1601">
        <f>IF(C1601="","",AVERAGE(C1586:C1601)*$N$5)</f>
        <v/>
      </c>
      <c r="J1601">
        <f>IF(C1601="","",J1600+$N$6*(C1601*$N$5-J1600))</f>
        <v/>
      </c>
      <c r="K1601">
        <f>IF(B1601="","",B1601-B1600)</f>
        <v/>
      </c>
    </row>
    <row r="1602">
      <c r="G1602">
        <f>IF(C1602="","",C1602*$N$5)</f>
        <v/>
      </c>
      <c r="H1602">
        <f>IF(C1602="","",AVERAGE(C1599:C1602)*$N$5)</f>
        <v/>
      </c>
      <c r="I1602">
        <f>IF(C1602="","",AVERAGE(C1587:C1602)*$N$5)</f>
        <v/>
      </c>
      <c r="J1602">
        <f>IF(C1602="","",J1601+$N$6*(C1602*$N$5-J1601))</f>
        <v/>
      </c>
      <c r="K1602">
        <f>IF(B1602="","",B1602-B1601)</f>
        <v/>
      </c>
    </row>
    <row r="1603">
      <c r="G1603">
        <f>IF(C1603="","",C1603*$N$5)</f>
        <v/>
      </c>
      <c r="H1603">
        <f>IF(C1603="","",AVERAGE(C1600:C1603)*$N$5)</f>
        <v/>
      </c>
      <c r="I1603">
        <f>IF(C1603="","",AVERAGE(C1588:C1603)*$N$5)</f>
        <v/>
      </c>
      <c r="J1603">
        <f>IF(C1603="","",J1602+$N$6*(C1603*$N$5-J1602))</f>
        <v/>
      </c>
      <c r="K1603">
        <f>IF(B1603="","",B1603-B1602)</f>
        <v/>
      </c>
    </row>
    <row r="1604">
      <c r="G1604">
        <f>IF(C1604="","",C1604*$N$5)</f>
        <v/>
      </c>
      <c r="H1604">
        <f>IF(C1604="","",AVERAGE(C1601:C1604)*$N$5)</f>
        <v/>
      </c>
      <c r="I1604">
        <f>IF(C1604="","",AVERAGE(C1589:C1604)*$N$5)</f>
        <v/>
      </c>
      <c r="J1604">
        <f>IF(C1604="","",J1603+$N$6*(C1604*$N$5-J1603))</f>
        <v/>
      </c>
      <c r="K1604">
        <f>IF(B1604="","",B1604-B1603)</f>
        <v/>
      </c>
    </row>
    <row r="1605">
      <c r="G1605">
        <f>IF(C1605="","",C1605*$N$5)</f>
        <v/>
      </c>
      <c r="H1605">
        <f>IF(C1605="","",AVERAGE(C1602:C1605)*$N$5)</f>
        <v/>
      </c>
      <c r="I1605">
        <f>IF(C1605="","",AVERAGE(C1590:C1605)*$N$5)</f>
        <v/>
      </c>
      <c r="J1605">
        <f>IF(C1605="","",J1604+$N$6*(C1605*$N$5-J1604))</f>
        <v/>
      </c>
      <c r="K1605">
        <f>IF(B1605="","",B1605-B1604)</f>
        <v/>
      </c>
    </row>
    <row r="1606">
      <c r="G1606">
        <f>IF(C1606="","",C1606*$N$5)</f>
        <v/>
      </c>
      <c r="H1606">
        <f>IF(C1606="","",AVERAGE(C1603:C1606)*$N$5)</f>
        <v/>
      </c>
      <c r="I1606">
        <f>IF(C1606="","",AVERAGE(C1591:C1606)*$N$5)</f>
        <v/>
      </c>
      <c r="J1606">
        <f>IF(C1606="","",J1605+$N$6*(C1606*$N$5-J1605))</f>
        <v/>
      </c>
      <c r="K1606">
        <f>IF(B1606="","",B1606-B1605)</f>
        <v/>
      </c>
    </row>
    <row r="1607">
      <c r="G1607">
        <f>IF(C1607="","",C1607*$N$5)</f>
        <v/>
      </c>
      <c r="H1607">
        <f>IF(C1607="","",AVERAGE(C1604:C1607)*$N$5)</f>
        <v/>
      </c>
      <c r="I1607">
        <f>IF(C1607="","",AVERAGE(C1592:C1607)*$N$5)</f>
        <v/>
      </c>
      <c r="J1607">
        <f>IF(C1607="","",J1606+$N$6*(C1607*$N$5-J1606))</f>
        <v/>
      </c>
      <c r="K1607">
        <f>IF(B1607="","",B1607-B1606)</f>
        <v/>
      </c>
    </row>
    <row r="1608">
      <c r="G1608">
        <f>IF(C1608="","",C1608*$N$5)</f>
        <v/>
      </c>
      <c r="H1608">
        <f>IF(C1608="","",AVERAGE(C1605:C1608)*$N$5)</f>
        <v/>
      </c>
      <c r="I1608">
        <f>IF(C1608="","",AVERAGE(C1593:C1608)*$N$5)</f>
        <v/>
      </c>
      <c r="J1608">
        <f>IF(C1608="","",J1607+$N$6*(C1608*$N$5-J1607))</f>
        <v/>
      </c>
      <c r="K1608">
        <f>IF(B1608="","",B1608-B1607)</f>
        <v/>
      </c>
    </row>
    <row r="1609">
      <c r="G1609">
        <f>IF(C1609="","",C1609*$N$5)</f>
        <v/>
      </c>
      <c r="H1609">
        <f>IF(C1609="","",AVERAGE(C1606:C1609)*$N$5)</f>
        <v/>
      </c>
      <c r="I1609">
        <f>IF(C1609="","",AVERAGE(C1594:C1609)*$N$5)</f>
        <v/>
      </c>
      <c r="J1609">
        <f>IF(C1609="","",J1608+$N$6*(C1609*$N$5-J1608))</f>
        <v/>
      </c>
      <c r="K1609">
        <f>IF(B1609="","",B1609-B1608)</f>
        <v/>
      </c>
    </row>
    <row r="1610">
      <c r="G1610">
        <f>IF(C1610="","",C1610*$N$5)</f>
        <v/>
      </c>
      <c r="H1610">
        <f>IF(C1610="","",AVERAGE(C1607:C1610)*$N$5)</f>
        <v/>
      </c>
      <c r="I1610">
        <f>IF(C1610="","",AVERAGE(C1595:C1610)*$N$5)</f>
        <v/>
      </c>
      <c r="J1610">
        <f>IF(C1610="","",J1609+$N$6*(C1610*$N$5-J1609))</f>
        <v/>
      </c>
      <c r="K1610">
        <f>IF(B1610="","",B1610-B1609)</f>
        <v/>
      </c>
    </row>
    <row r="1611">
      <c r="G1611">
        <f>IF(C1611="","",C1611*$N$5)</f>
        <v/>
      </c>
      <c r="H1611">
        <f>IF(C1611="","",AVERAGE(C1608:C1611)*$N$5)</f>
        <v/>
      </c>
      <c r="I1611">
        <f>IF(C1611="","",AVERAGE(C1596:C1611)*$N$5)</f>
        <v/>
      </c>
      <c r="J1611">
        <f>IF(C1611="","",J1610+$N$6*(C1611*$N$5-J1610))</f>
        <v/>
      </c>
      <c r="K1611">
        <f>IF(B1611="","",B1611-B1610)</f>
        <v/>
      </c>
    </row>
    <row r="1612">
      <c r="G1612">
        <f>IF(C1612="","",C1612*$N$5)</f>
        <v/>
      </c>
      <c r="H1612">
        <f>IF(C1612="","",AVERAGE(C1609:C1612)*$N$5)</f>
        <v/>
      </c>
      <c r="I1612">
        <f>IF(C1612="","",AVERAGE(C1597:C1612)*$N$5)</f>
        <v/>
      </c>
      <c r="J1612">
        <f>IF(C1612="","",J1611+$N$6*(C1612*$N$5-J1611))</f>
        <v/>
      </c>
      <c r="K1612">
        <f>IF(B1612="","",B1612-B1611)</f>
        <v/>
      </c>
    </row>
    <row r="1613">
      <c r="G1613">
        <f>IF(C1613="","",C1613*$N$5)</f>
        <v/>
      </c>
      <c r="H1613">
        <f>IF(C1613="","",AVERAGE(C1610:C1613)*$N$5)</f>
        <v/>
      </c>
      <c r="I1613">
        <f>IF(C1613="","",AVERAGE(C1598:C1613)*$N$5)</f>
        <v/>
      </c>
      <c r="J1613">
        <f>IF(C1613="","",J1612+$N$6*(C1613*$N$5-J1612))</f>
        <v/>
      </c>
      <c r="K1613">
        <f>IF(B1613="","",B1613-B1612)</f>
        <v/>
      </c>
    </row>
    <row r="1614">
      <c r="G1614">
        <f>IF(C1614="","",C1614*$N$5)</f>
        <v/>
      </c>
      <c r="H1614">
        <f>IF(C1614="","",AVERAGE(C1611:C1614)*$N$5)</f>
        <v/>
      </c>
      <c r="I1614">
        <f>IF(C1614="","",AVERAGE(C1599:C1614)*$N$5)</f>
        <v/>
      </c>
      <c r="J1614">
        <f>IF(C1614="","",J1613+$N$6*(C1614*$N$5-J1613))</f>
        <v/>
      </c>
      <c r="K1614">
        <f>IF(B1614="","",B1614-B1613)</f>
        <v/>
      </c>
    </row>
    <row r="1615">
      <c r="G1615">
        <f>IF(C1615="","",C1615*$N$5)</f>
        <v/>
      </c>
      <c r="H1615">
        <f>IF(C1615="","",AVERAGE(C1612:C1615)*$N$5)</f>
        <v/>
      </c>
      <c r="I1615">
        <f>IF(C1615="","",AVERAGE(C1600:C1615)*$N$5)</f>
        <v/>
      </c>
      <c r="J1615">
        <f>IF(C1615="","",J1614+$N$6*(C1615*$N$5-J1614))</f>
        <v/>
      </c>
      <c r="K1615">
        <f>IF(B1615="","",B1615-B1614)</f>
        <v/>
      </c>
    </row>
    <row r="1616">
      <c r="G1616">
        <f>IF(C1616="","",C1616*$N$5)</f>
        <v/>
      </c>
      <c r="H1616">
        <f>IF(C1616="","",AVERAGE(C1613:C1616)*$N$5)</f>
        <v/>
      </c>
      <c r="I1616">
        <f>IF(C1616="","",AVERAGE(C1601:C1616)*$N$5)</f>
        <v/>
      </c>
      <c r="J1616">
        <f>IF(C1616="","",J1615+$N$6*(C1616*$N$5-J1615))</f>
        <v/>
      </c>
      <c r="K1616">
        <f>IF(B1616="","",B1616-B1615)</f>
        <v/>
      </c>
    </row>
    <row r="1617">
      <c r="G1617">
        <f>IF(C1617="","",C1617*$N$5)</f>
        <v/>
      </c>
      <c r="H1617">
        <f>IF(C1617="","",AVERAGE(C1614:C1617)*$N$5)</f>
        <v/>
      </c>
      <c r="I1617">
        <f>IF(C1617="","",AVERAGE(C1602:C1617)*$N$5)</f>
        <v/>
      </c>
      <c r="J1617">
        <f>IF(C1617="","",J1616+$N$6*(C1617*$N$5-J1616))</f>
        <v/>
      </c>
      <c r="K1617">
        <f>IF(B1617="","",B1617-B1616)</f>
        <v/>
      </c>
    </row>
    <row r="1618">
      <c r="G1618">
        <f>IF(C1618="","",C1618*$N$5)</f>
        <v/>
      </c>
      <c r="H1618">
        <f>IF(C1618="","",AVERAGE(C1615:C1618)*$N$5)</f>
        <v/>
      </c>
      <c r="I1618">
        <f>IF(C1618="","",AVERAGE(C1603:C1618)*$N$5)</f>
        <v/>
      </c>
      <c r="J1618">
        <f>IF(C1618="","",J1617+$N$6*(C1618*$N$5-J1617))</f>
        <v/>
      </c>
      <c r="K1618">
        <f>IF(B1618="","",B1618-B1617)</f>
        <v/>
      </c>
    </row>
    <row r="1619">
      <c r="G1619">
        <f>IF(C1619="","",C1619*$N$5)</f>
        <v/>
      </c>
      <c r="H1619">
        <f>IF(C1619="","",AVERAGE(C1616:C1619)*$N$5)</f>
        <v/>
      </c>
      <c r="I1619">
        <f>IF(C1619="","",AVERAGE(C1604:C1619)*$N$5)</f>
        <v/>
      </c>
      <c r="J1619">
        <f>IF(C1619="","",J1618+$N$6*(C1619*$N$5-J1618))</f>
        <v/>
      </c>
      <c r="K1619">
        <f>IF(B1619="","",B1619-B1618)</f>
        <v/>
      </c>
    </row>
    <row r="1620">
      <c r="G1620">
        <f>IF(C1620="","",C1620*$N$5)</f>
        <v/>
      </c>
      <c r="H1620">
        <f>IF(C1620="","",AVERAGE(C1617:C1620)*$N$5)</f>
        <v/>
      </c>
      <c r="I1620">
        <f>IF(C1620="","",AVERAGE(C1605:C1620)*$N$5)</f>
        <v/>
      </c>
      <c r="J1620">
        <f>IF(C1620="","",J1619+$N$6*(C1620*$N$5-J1619))</f>
        <v/>
      </c>
      <c r="K1620">
        <f>IF(B1620="","",B1620-B1619)</f>
        <v/>
      </c>
    </row>
    <row r="1621">
      <c r="G1621">
        <f>IF(C1621="","",C1621*$N$5)</f>
        <v/>
      </c>
      <c r="H1621">
        <f>IF(C1621="","",AVERAGE(C1618:C1621)*$N$5)</f>
        <v/>
      </c>
      <c r="I1621">
        <f>IF(C1621="","",AVERAGE(C1606:C1621)*$N$5)</f>
        <v/>
      </c>
      <c r="J1621">
        <f>IF(C1621="","",J1620+$N$6*(C1621*$N$5-J1620))</f>
        <v/>
      </c>
      <c r="K1621">
        <f>IF(B1621="","",B1621-B1620)</f>
        <v/>
      </c>
    </row>
    <row r="1622">
      <c r="G1622">
        <f>IF(C1622="","",C1622*$N$5)</f>
        <v/>
      </c>
      <c r="H1622">
        <f>IF(C1622="","",AVERAGE(C1619:C1622)*$N$5)</f>
        <v/>
      </c>
      <c r="I1622">
        <f>IF(C1622="","",AVERAGE(C1607:C1622)*$N$5)</f>
        <v/>
      </c>
      <c r="J1622">
        <f>IF(C1622="","",J1621+$N$6*(C1622*$N$5-J1621))</f>
        <v/>
      </c>
      <c r="K1622">
        <f>IF(B1622="","",B1622-B1621)</f>
        <v/>
      </c>
    </row>
    <row r="1623">
      <c r="G1623">
        <f>IF(C1623="","",C1623*$N$5)</f>
        <v/>
      </c>
      <c r="H1623">
        <f>IF(C1623="","",AVERAGE(C1620:C1623)*$N$5)</f>
        <v/>
      </c>
      <c r="I1623">
        <f>IF(C1623="","",AVERAGE(C1608:C1623)*$N$5)</f>
        <v/>
      </c>
      <c r="J1623">
        <f>IF(C1623="","",J1622+$N$6*(C1623*$N$5-J1622))</f>
        <v/>
      </c>
      <c r="K1623">
        <f>IF(B1623="","",B1623-B1622)</f>
        <v/>
      </c>
    </row>
    <row r="1624">
      <c r="G1624">
        <f>IF(C1624="","",C1624*$N$5)</f>
        <v/>
      </c>
      <c r="H1624">
        <f>IF(C1624="","",AVERAGE(C1621:C1624)*$N$5)</f>
        <v/>
      </c>
      <c r="I1624">
        <f>IF(C1624="","",AVERAGE(C1609:C1624)*$N$5)</f>
        <v/>
      </c>
      <c r="J1624">
        <f>IF(C1624="","",J1623+$N$6*(C1624*$N$5-J1623))</f>
        <v/>
      </c>
      <c r="K1624">
        <f>IF(B1624="","",B1624-B1623)</f>
        <v/>
      </c>
    </row>
    <row r="1625">
      <c r="G1625">
        <f>IF(C1625="","",C1625*$N$5)</f>
        <v/>
      </c>
      <c r="H1625">
        <f>IF(C1625="","",AVERAGE(C1622:C1625)*$N$5)</f>
        <v/>
      </c>
      <c r="I1625">
        <f>IF(C1625="","",AVERAGE(C1610:C1625)*$N$5)</f>
        <v/>
      </c>
      <c r="J1625">
        <f>IF(C1625="","",J1624+$N$6*(C1625*$N$5-J1624))</f>
        <v/>
      </c>
      <c r="K1625">
        <f>IF(B1625="","",B1625-B1624)</f>
        <v/>
      </c>
    </row>
    <row r="1626">
      <c r="G1626">
        <f>IF(C1626="","",C1626*$N$5)</f>
        <v/>
      </c>
      <c r="H1626">
        <f>IF(C1626="","",AVERAGE(C1623:C1626)*$N$5)</f>
        <v/>
      </c>
      <c r="I1626">
        <f>IF(C1626="","",AVERAGE(C1611:C1626)*$N$5)</f>
        <v/>
      </c>
      <c r="J1626">
        <f>IF(C1626="","",J1625+$N$6*(C1626*$N$5-J1625))</f>
        <v/>
      </c>
      <c r="K1626">
        <f>IF(B1626="","",B1626-B1625)</f>
        <v/>
      </c>
    </row>
    <row r="1627">
      <c r="G1627">
        <f>IF(C1627="","",C1627*$N$5)</f>
        <v/>
      </c>
      <c r="H1627">
        <f>IF(C1627="","",AVERAGE(C1624:C1627)*$N$5)</f>
        <v/>
      </c>
      <c r="I1627">
        <f>IF(C1627="","",AVERAGE(C1612:C1627)*$N$5)</f>
        <v/>
      </c>
      <c r="J1627">
        <f>IF(C1627="","",J1626+$N$6*(C1627*$N$5-J1626))</f>
        <v/>
      </c>
      <c r="K1627">
        <f>IF(B1627="","",B1627-B1626)</f>
        <v/>
      </c>
    </row>
    <row r="1628">
      <c r="G1628">
        <f>IF(C1628="","",C1628*$N$5)</f>
        <v/>
      </c>
      <c r="H1628">
        <f>IF(C1628="","",AVERAGE(C1625:C1628)*$N$5)</f>
        <v/>
      </c>
      <c r="I1628">
        <f>IF(C1628="","",AVERAGE(C1613:C1628)*$N$5)</f>
        <v/>
      </c>
      <c r="J1628">
        <f>IF(C1628="","",J1627+$N$6*(C1628*$N$5-J1627))</f>
        <v/>
      </c>
      <c r="K1628">
        <f>IF(B1628="","",B1628-B1627)</f>
        <v/>
      </c>
    </row>
    <row r="1629">
      <c r="G1629">
        <f>IF(C1629="","",C1629*$N$5)</f>
        <v/>
      </c>
      <c r="H1629">
        <f>IF(C1629="","",AVERAGE(C1626:C1629)*$N$5)</f>
        <v/>
      </c>
      <c r="I1629">
        <f>IF(C1629="","",AVERAGE(C1614:C1629)*$N$5)</f>
        <v/>
      </c>
      <c r="J1629">
        <f>IF(C1629="","",J1628+$N$6*(C1629*$N$5-J1628))</f>
        <v/>
      </c>
      <c r="K1629">
        <f>IF(B1629="","",B1629-B1628)</f>
        <v/>
      </c>
    </row>
    <row r="1630">
      <c r="G1630">
        <f>IF(C1630="","",C1630*$N$5)</f>
        <v/>
      </c>
      <c r="H1630">
        <f>IF(C1630="","",AVERAGE(C1627:C1630)*$N$5)</f>
        <v/>
      </c>
      <c r="I1630">
        <f>IF(C1630="","",AVERAGE(C1615:C1630)*$N$5)</f>
        <v/>
      </c>
      <c r="J1630">
        <f>IF(C1630="","",J1629+$N$6*(C1630*$N$5-J1629))</f>
        <v/>
      </c>
      <c r="K1630">
        <f>IF(B1630="","",B1630-B1629)</f>
        <v/>
      </c>
    </row>
    <row r="1631">
      <c r="G1631">
        <f>IF(C1631="","",C1631*$N$5)</f>
        <v/>
      </c>
      <c r="H1631">
        <f>IF(C1631="","",AVERAGE(C1628:C1631)*$N$5)</f>
        <v/>
      </c>
      <c r="I1631">
        <f>IF(C1631="","",AVERAGE(C1616:C1631)*$N$5)</f>
        <v/>
      </c>
      <c r="J1631">
        <f>IF(C1631="","",J1630+$N$6*(C1631*$N$5-J1630))</f>
        <v/>
      </c>
      <c r="K1631">
        <f>IF(B1631="","",B1631-B1630)</f>
        <v/>
      </c>
    </row>
    <row r="1632">
      <c r="G1632">
        <f>IF(C1632="","",C1632*$N$5)</f>
        <v/>
      </c>
      <c r="H1632">
        <f>IF(C1632="","",AVERAGE(C1629:C1632)*$N$5)</f>
        <v/>
      </c>
      <c r="I1632">
        <f>IF(C1632="","",AVERAGE(C1617:C1632)*$N$5)</f>
        <v/>
      </c>
      <c r="J1632">
        <f>IF(C1632="","",J1631+$N$6*(C1632*$N$5-J1631))</f>
        <v/>
      </c>
      <c r="K1632">
        <f>IF(B1632="","",B1632-B1631)</f>
        <v/>
      </c>
    </row>
    <row r="1633">
      <c r="G1633">
        <f>IF(C1633="","",C1633*$N$5)</f>
        <v/>
      </c>
      <c r="H1633">
        <f>IF(C1633="","",AVERAGE(C1630:C1633)*$N$5)</f>
        <v/>
      </c>
      <c r="I1633">
        <f>IF(C1633="","",AVERAGE(C1618:C1633)*$N$5)</f>
        <v/>
      </c>
      <c r="J1633">
        <f>IF(C1633="","",J1632+$N$6*(C1633*$N$5-J1632))</f>
        <v/>
      </c>
      <c r="K1633">
        <f>IF(B1633="","",B1633-B1632)</f>
        <v/>
      </c>
    </row>
    <row r="1634">
      <c r="G1634">
        <f>IF(C1634="","",C1634*$N$5)</f>
        <v/>
      </c>
      <c r="H1634">
        <f>IF(C1634="","",AVERAGE(C1631:C1634)*$N$5)</f>
        <v/>
      </c>
      <c r="I1634">
        <f>IF(C1634="","",AVERAGE(C1619:C1634)*$N$5)</f>
        <v/>
      </c>
      <c r="J1634">
        <f>IF(C1634="","",J1633+$N$6*(C1634*$N$5-J1633))</f>
        <v/>
      </c>
      <c r="K1634">
        <f>IF(B1634="","",B1634-B1633)</f>
        <v/>
      </c>
    </row>
    <row r="1635">
      <c r="G1635">
        <f>IF(C1635="","",C1635*$N$5)</f>
        <v/>
      </c>
      <c r="H1635">
        <f>IF(C1635="","",AVERAGE(C1632:C1635)*$N$5)</f>
        <v/>
      </c>
      <c r="I1635">
        <f>IF(C1635="","",AVERAGE(C1620:C1635)*$N$5)</f>
        <v/>
      </c>
      <c r="J1635">
        <f>IF(C1635="","",J1634+$N$6*(C1635*$N$5-J1634))</f>
        <v/>
      </c>
      <c r="K1635">
        <f>IF(B1635="","",B1635-B1634)</f>
        <v/>
      </c>
    </row>
    <row r="1636">
      <c r="G1636">
        <f>IF(C1636="","",C1636*$N$5)</f>
        <v/>
      </c>
      <c r="H1636">
        <f>IF(C1636="","",AVERAGE(C1633:C1636)*$N$5)</f>
        <v/>
      </c>
      <c r="I1636">
        <f>IF(C1636="","",AVERAGE(C1621:C1636)*$N$5)</f>
        <v/>
      </c>
      <c r="J1636">
        <f>IF(C1636="","",J1635+$N$6*(C1636*$N$5-J1635))</f>
        <v/>
      </c>
      <c r="K1636">
        <f>IF(B1636="","",B1636-B1635)</f>
        <v/>
      </c>
    </row>
    <row r="1637">
      <c r="G1637">
        <f>IF(C1637="","",C1637*$N$5)</f>
        <v/>
      </c>
      <c r="H1637">
        <f>IF(C1637="","",AVERAGE(C1634:C1637)*$N$5)</f>
        <v/>
      </c>
      <c r="I1637">
        <f>IF(C1637="","",AVERAGE(C1622:C1637)*$N$5)</f>
        <v/>
      </c>
      <c r="J1637">
        <f>IF(C1637="","",J1636+$N$6*(C1637*$N$5-J1636))</f>
        <v/>
      </c>
      <c r="K1637">
        <f>IF(B1637="","",B1637-B1636)</f>
        <v/>
      </c>
    </row>
    <row r="1638">
      <c r="G1638">
        <f>IF(C1638="","",C1638*$N$5)</f>
        <v/>
      </c>
      <c r="H1638">
        <f>IF(C1638="","",AVERAGE(C1635:C1638)*$N$5)</f>
        <v/>
      </c>
      <c r="I1638">
        <f>IF(C1638="","",AVERAGE(C1623:C1638)*$N$5)</f>
        <v/>
      </c>
      <c r="J1638">
        <f>IF(C1638="","",J1637+$N$6*(C1638*$N$5-J1637))</f>
        <v/>
      </c>
      <c r="K1638">
        <f>IF(B1638="","",B1638-B1637)</f>
        <v/>
      </c>
    </row>
    <row r="1639">
      <c r="G1639">
        <f>IF(C1639="","",C1639*$N$5)</f>
        <v/>
      </c>
      <c r="H1639">
        <f>IF(C1639="","",AVERAGE(C1636:C1639)*$N$5)</f>
        <v/>
      </c>
      <c r="I1639">
        <f>IF(C1639="","",AVERAGE(C1624:C1639)*$N$5)</f>
        <v/>
      </c>
      <c r="J1639">
        <f>IF(C1639="","",J1638+$N$6*(C1639*$N$5-J1638))</f>
        <v/>
      </c>
      <c r="K1639">
        <f>IF(B1639="","",B1639-B1638)</f>
        <v/>
      </c>
    </row>
    <row r="1640">
      <c r="G1640">
        <f>IF(C1640="","",C1640*$N$5)</f>
        <v/>
      </c>
      <c r="H1640">
        <f>IF(C1640="","",AVERAGE(C1637:C1640)*$N$5)</f>
        <v/>
      </c>
      <c r="I1640">
        <f>IF(C1640="","",AVERAGE(C1625:C1640)*$N$5)</f>
        <v/>
      </c>
      <c r="J1640">
        <f>IF(C1640="","",J1639+$N$6*(C1640*$N$5-J1639))</f>
        <v/>
      </c>
      <c r="K1640">
        <f>IF(B1640="","",B1640-B1639)</f>
        <v/>
      </c>
    </row>
    <row r="1641">
      <c r="G1641">
        <f>IF(C1641="","",C1641*$N$5)</f>
        <v/>
      </c>
      <c r="H1641">
        <f>IF(C1641="","",AVERAGE(C1638:C1641)*$N$5)</f>
        <v/>
      </c>
      <c r="I1641">
        <f>IF(C1641="","",AVERAGE(C1626:C1641)*$N$5)</f>
        <v/>
      </c>
      <c r="J1641">
        <f>IF(C1641="","",J1640+$N$6*(C1641*$N$5-J1640))</f>
        <v/>
      </c>
      <c r="K1641">
        <f>IF(B1641="","",B1641-B1640)</f>
        <v/>
      </c>
    </row>
    <row r="1642">
      <c r="G1642">
        <f>IF(C1642="","",C1642*$N$5)</f>
        <v/>
      </c>
      <c r="H1642">
        <f>IF(C1642="","",AVERAGE(C1639:C1642)*$N$5)</f>
        <v/>
      </c>
      <c r="I1642">
        <f>IF(C1642="","",AVERAGE(C1627:C1642)*$N$5)</f>
        <v/>
      </c>
      <c r="J1642">
        <f>IF(C1642="","",J1641+$N$6*(C1642*$N$5-J1641))</f>
        <v/>
      </c>
      <c r="K1642">
        <f>IF(B1642="","",B1642-B1641)</f>
        <v/>
      </c>
    </row>
    <row r="1643">
      <c r="G1643">
        <f>IF(C1643="","",C1643*$N$5)</f>
        <v/>
      </c>
      <c r="H1643">
        <f>IF(C1643="","",AVERAGE(C1640:C1643)*$N$5)</f>
        <v/>
      </c>
      <c r="I1643">
        <f>IF(C1643="","",AVERAGE(C1628:C1643)*$N$5)</f>
        <v/>
      </c>
      <c r="J1643">
        <f>IF(C1643="","",J1642+$N$6*(C1643*$N$5-J1642))</f>
        <v/>
      </c>
      <c r="K1643">
        <f>IF(B1643="","",B1643-B1642)</f>
        <v/>
      </c>
    </row>
    <row r="1644">
      <c r="G1644">
        <f>IF(C1644="","",C1644*$N$5)</f>
        <v/>
      </c>
      <c r="H1644">
        <f>IF(C1644="","",AVERAGE(C1641:C1644)*$N$5)</f>
        <v/>
      </c>
      <c r="I1644">
        <f>IF(C1644="","",AVERAGE(C1629:C1644)*$N$5)</f>
        <v/>
      </c>
      <c r="J1644">
        <f>IF(C1644="","",J1643+$N$6*(C1644*$N$5-J1643))</f>
        <v/>
      </c>
      <c r="K1644">
        <f>IF(B1644="","",B1644-B1643)</f>
        <v/>
      </c>
    </row>
    <row r="1645">
      <c r="G1645">
        <f>IF(C1645="","",C1645*$N$5)</f>
        <v/>
      </c>
      <c r="H1645">
        <f>IF(C1645="","",AVERAGE(C1642:C1645)*$N$5)</f>
        <v/>
      </c>
      <c r="I1645">
        <f>IF(C1645="","",AVERAGE(C1630:C1645)*$N$5)</f>
        <v/>
      </c>
      <c r="J1645">
        <f>IF(C1645="","",J1644+$N$6*(C1645*$N$5-J1644))</f>
        <v/>
      </c>
      <c r="K1645">
        <f>IF(B1645="","",B1645-B1644)</f>
        <v/>
      </c>
    </row>
    <row r="1646">
      <c r="G1646">
        <f>IF(C1646="","",C1646*$N$5)</f>
        <v/>
      </c>
      <c r="H1646">
        <f>IF(C1646="","",AVERAGE(C1643:C1646)*$N$5)</f>
        <v/>
      </c>
      <c r="I1646">
        <f>IF(C1646="","",AVERAGE(C1631:C1646)*$N$5)</f>
        <v/>
      </c>
      <c r="J1646">
        <f>IF(C1646="","",J1645+$N$6*(C1646*$N$5-J1645))</f>
        <v/>
      </c>
      <c r="K1646">
        <f>IF(B1646="","",B1646-B1645)</f>
        <v/>
      </c>
    </row>
    <row r="1647">
      <c r="G1647">
        <f>IF(C1647="","",C1647*$N$5)</f>
        <v/>
      </c>
      <c r="H1647">
        <f>IF(C1647="","",AVERAGE(C1644:C1647)*$N$5)</f>
        <v/>
      </c>
      <c r="I1647">
        <f>IF(C1647="","",AVERAGE(C1632:C1647)*$N$5)</f>
        <v/>
      </c>
      <c r="J1647">
        <f>IF(C1647="","",J1646+$N$6*(C1647*$N$5-J1646))</f>
        <v/>
      </c>
      <c r="K1647">
        <f>IF(B1647="","",B1647-B1646)</f>
        <v/>
      </c>
    </row>
    <row r="1648">
      <c r="G1648">
        <f>IF(C1648="","",C1648*$N$5)</f>
        <v/>
      </c>
      <c r="H1648">
        <f>IF(C1648="","",AVERAGE(C1645:C1648)*$N$5)</f>
        <v/>
      </c>
      <c r="I1648">
        <f>IF(C1648="","",AVERAGE(C1633:C1648)*$N$5)</f>
        <v/>
      </c>
      <c r="J1648">
        <f>IF(C1648="","",J1647+$N$6*(C1648*$N$5-J1647))</f>
        <v/>
      </c>
      <c r="K1648">
        <f>IF(B1648="","",B1648-B1647)</f>
        <v/>
      </c>
    </row>
    <row r="1649">
      <c r="G1649">
        <f>IF(C1649="","",C1649*$N$5)</f>
        <v/>
      </c>
      <c r="H1649">
        <f>IF(C1649="","",AVERAGE(C1646:C1649)*$N$5)</f>
        <v/>
      </c>
      <c r="I1649">
        <f>IF(C1649="","",AVERAGE(C1634:C1649)*$N$5)</f>
        <v/>
      </c>
      <c r="J1649">
        <f>IF(C1649="","",J1648+$N$6*(C1649*$N$5-J1648))</f>
        <v/>
      </c>
      <c r="K1649">
        <f>IF(B1649="","",B1649-B1648)</f>
        <v/>
      </c>
    </row>
    <row r="1650">
      <c r="G1650">
        <f>IF(C1650="","",C1650*$N$5)</f>
        <v/>
      </c>
      <c r="H1650">
        <f>IF(C1650="","",AVERAGE(C1647:C1650)*$N$5)</f>
        <v/>
      </c>
      <c r="I1650">
        <f>IF(C1650="","",AVERAGE(C1635:C1650)*$N$5)</f>
        <v/>
      </c>
      <c r="J1650">
        <f>IF(C1650="","",J1649+$N$6*(C1650*$N$5-J1649))</f>
        <v/>
      </c>
      <c r="K1650">
        <f>IF(B1650="","",B1650-B1649)</f>
        <v/>
      </c>
    </row>
    <row r="1651">
      <c r="G1651">
        <f>IF(C1651="","",C1651*$N$5)</f>
        <v/>
      </c>
      <c r="H1651">
        <f>IF(C1651="","",AVERAGE(C1648:C1651)*$N$5)</f>
        <v/>
      </c>
      <c r="I1651">
        <f>IF(C1651="","",AVERAGE(C1636:C1651)*$N$5)</f>
        <v/>
      </c>
      <c r="J1651">
        <f>IF(C1651="","",J1650+$N$6*(C1651*$N$5-J1650))</f>
        <v/>
      </c>
      <c r="K1651">
        <f>IF(B1651="","",B1651-B1650)</f>
        <v/>
      </c>
    </row>
    <row r="1652">
      <c r="G1652">
        <f>IF(C1652="","",C1652*$N$5)</f>
        <v/>
      </c>
      <c r="H1652">
        <f>IF(C1652="","",AVERAGE(C1649:C1652)*$N$5)</f>
        <v/>
      </c>
      <c r="I1652">
        <f>IF(C1652="","",AVERAGE(C1637:C1652)*$N$5)</f>
        <v/>
      </c>
      <c r="J1652">
        <f>IF(C1652="","",J1651+$N$6*(C1652*$N$5-J1651))</f>
        <v/>
      </c>
      <c r="K1652">
        <f>IF(B1652="","",B1652-B1651)</f>
        <v/>
      </c>
    </row>
    <row r="1653">
      <c r="G1653">
        <f>IF(C1653="","",C1653*$N$5)</f>
        <v/>
      </c>
      <c r="H1653">
        <f>IF(C1653="","",AVERAGE(C1650:C1653)*$N$5)</f>
        <v/>
      </c>
      <c r="I1653">
        <f>IF(C1653="","",AVERAGE(C1638:C1653)*$N$5)</f>
        <v/>
      </c>
      <c r="J1653">
        <f>IF(C1653="","",J1652+$N$6*(C1653*$N$5-J1652))</f>
        <v/>
      </c>
      <c r="K1653">
        <f>IF(B1653="","",B1653-B1652)</f>
        <v/>
      </c>
    </row>
    <row r="1654">
      <c r="G1654">
        <f>IF(C1654="","",C1654*$N$5)</f>
        <v/>
      </c>
      <c r="H1654">
        <f>IF(C1654="","",AVERAGE(C1651:C1654)*$N$5)</f>
        <v/>
      </c>
      <c r="I1654">
        <f>IF(C1654="","",AVERAGE(C1639:C1654)*$N$5)</f>
        <v/>
      </c>
      <c r="J1654">
        <f>IF(C1654="","",J1653+$N$6*(C1654*$N$5-J1653))</f>
        <v/>
      </c>
      <c r="K1654">
        <f>IF(B1654="","",B1654-B1653)</f>
        <v/>
      </c>
    </row>
    <row r="1655">
      <c r="G1655">
        <f>IF(C1655="","",C1655*$N$5)</f>
        <v/>
      </c>
      <c r="H1655">
        <f>IF(C1655="","",AVERAGE(C1652:C1655)*$N$5)</f>
        <v/>
      </c>
      <c r="I1655">
        <f>IF(C1655="","",AVERAGE(C1640:C1655)*$N$5)</f>
        <v/>
      </c>
      <c r="J1655">
        <f>IF(C1655="","",J1654+$N$6*(C1655*$N$5-J1654))</f>
        <v/>
      </c>
      <c r="K1655">
        <f>IF(B1655="","",B1655-B1654)</f>
        <v/>
      </c>
    </row>
    <row r="1656">
      <c r="G1656">
        <f>IF(C1656="","",C1656*$N$5)</f>
        <v/>
      </c>
      <c r="H1656">
        <f>IF(C1656="","",AVERAGE(C1653:C1656)*$N$5)</f>
        <v/>
      </c>
      <c r="I1656">
        <f>IF(C1656="","",AVERAGE(C1641:C1656)*$N$5)</f>
        <v/>
      </c>
      <c r="J1656">
        <f>IF(C1656="","",J1655+$N$6*(C1656*$N$5-J1655))</f>
        <v/>
      </c>
      <c r="K1656">
        <f>IF(B1656="","",B1656-B1655)</f>
        <v/>
      </c>
    </row>
    <row r="1657">
      <c r="G1657">
        <f>IF(C1657="","",C1657*$N$5)</f>
        <v/>
      </c>
      <c r="H1657">
        <f>IF(C1657="","",AVERAGE(C1654:C1657)*$N$5)</f>
        <v/>
      </c>
      <c r="I1657">
        <f>IF(C1657="","",AVERAGE(C1642:C1657)*$N$5)</f>
        <v/>
      </c>
      <c r="J1657">
        <f>IF(C1657="","",J1656+$N$6*(C1657*$N$5-J1656))</f>
        <v/>
      </c>
      <c r="K1657">
        <f>IF(B1657="","",B1657-B1656)</f>
        <v/>
      </c>
    </row>
    <row r="1658">
      <c r="G1658">
        <f>IF(C1658="","",C1658*$N$5)</f>
        <v/>
      </c>
      <c r="H1658">
        <f>IF(C1658="","",AVERAGE(C1655:C1658)*$N$5)</f>
        <v/>
      </c>
      <c r="I1658">
        <f>IF(C1658="","",AVERAGE(C1643:C1658)*$N$5)</f>
        <v/>
      </c>
      <c r="J1658">
        <f>IF(C1658="","",J1657+$N$6*(C1658*$N$5-J1657))</f>
        <v/>
      </c>
      <c r="K1658">
        <f>IF(B1658="","",B1658-B1657)</f>
        <v/>
      </c>
    </row>
    <row r="1659">
      <c r="G1659">
        <f>IF(C1659="","",C1659*$N$5)</f>
        <v/>
      </c>
      <c r="H1659">
        <f>IF(C1659="","",AVERAGE(C1656:C1659)*$N$5)</f>
        <v/>
      </c>
      <c r="I1659">
        <f>IF(C1659="","",AVERAGE(C1644:C1659)*$N$5)</f>
        <v/>
      </c>
      <c r="J1659">
        <f>IF(C1659="","",J1658+$N$6*(C1659*$N$5-J1658))</f>
        <v/>
      </c>
      <c r="K1659">
        <f>IF(B1659="","",B1659-B1658)</f>
        <v/>
      </c>
    </row>
    <row r="1660">
      <c r="G1660">
        <f>IF(C1660="","",C1660*$N$5)</f>
        <v/>
      </c>
      <c r="H1660">
        <f>IF(C1660="","",AVERAGE(C1657:C1660)*$N$5)</f>
        <v/>
      </c>
      <c r="I1660">
        <f>IF(C1660="","",AVERAGE(C1645:C1660)*$N$5)</f>
        <v/>
      </c>
      <c r="J1660">
        <f>IF(C1660="","",J1659+$N$6*(C1660*$N$5-J1659))</f>
        <v/>
      </c>
      <c r="K1660">
        <f>IF(B1660="","",B1660-B1659)</f>
        <v/>
      </c>
    </row>
    <row r="1661">
      <c r="G1661">
        <f>IF(C1661="","",C1661*$N$5)</f>
        <v/>
      </c>
      <c r="H1661">
        <f>IF(C1661="","",AVERAGE(C1658:C1661)*$N$5)</f>
        <v/>
      </c>
      <c r="I1661">
        <f>IF(C1661="","",AVERAGE(C1646:C1661)*$N$5)</f>
        <v/>
      </c>
      <c r="J1661">
        <f>IF(C1661="","",J1660+$N$6*(C1661*$N$5-J1660))</f>
        <v/>
      </c>
      <c r="K1661">
        <f>IF(B1661="","",B1661-B1660)</f>
        <v/>
      </c>
    </row>
    <row r="1662">
      <c r="G1662">
        <f>IF(C1662="","",C1662*$N$5)</f>
        <v/>
      </c>
      <c r="H1662">
        <f>IF(C1662="","",AVERAGE(C1659:C1662)*$N$5)</f>
        <v/>
      </c>
      <c r="I1662">
        <f>IF(C1662="","",AVERAGE(C1647:C1662)*$N$5)</f>
        <v/>
      </c>
      <c r="J1662">
        <f>IF(C1662="","",J1661+$N$6*(C1662*$N$5-J1661))</f>
        <v/>
      </c>
      <c r="K1662">
        <f>IF(B1662="","",B1662-B1661)</f>
        <v/>
      </c>
    </row>
    <row r="1663">
      <c r="G1663">
        <f>IF(C1663="","",C1663*$N$5)</f>
        <v/>
      </c>
      <c r="H1663">
        <f>IF(C1663="","",AVERAGE(C1660:C1663)*$N$5)</f>
        <v/>
      </c>
      <c r="I1663">
        <f>IF(C1663="","",AVERAGE(C1648:C1663)*$N$5)</f>
        <v/>
      </c>
      <c r="J1663">
        <f>IF(C1663="","",J1662+$N$6*(C1663*$N$5-J1662))</f>
        <v/>
      </c>
      <c r="K1663">
        <f>IF(B1663="","",B1663-B1662)</f>
        <v/>
      </c>
    </row>
    <row r="1664">
      <c r="G1664">
        <f>IF(C1664="","",C1664*$N$5)</f>
        <v/>
      </c>
      <c r="H1664">
        <f>IF(C1664="","",AVERAGE(C1661:C1664)*$N$5)</f>
        <v/>
      </c>
      <c r="I1664">
        <f>IF(C1664="","",AVERAGE(C1649:C1664)*$N$5)</f>
        <v/>
      </c>
      <c r="J1664">
        <f>IF(C1664="","",J1663+$N$6*(C1664*$N$5-J1663))</f>
        <v/>
      </c>
      <c r="K1664">
        <f>IF(B1664="","",B1664-B1663)</f>
        <v/>
      </c>
    </row>
    <row r="1665">
      <c r="G1665">
        <f>IF(C1665="","",C1665*$N$5)</f>
        <v/>
      </c>
      <c r="H1665">
        <f>IF(C1665="","",AVERAGE(C1662:C1665)*$N$5)</f>
        <v/>
      </c>
      <c r="I1665">
        <f>IF(C1665="","",AVERAGE(C1650:C1665)*$N$5)</f>
        <v/>
      </c>
      <c r="J1665">
        <f>IF(C1665="","",J1664+$N$6*(C1665*$N$5-J1664))</f>
        <v/>
      </c>
      <c r="K1665">
        <f>IF(B1665="","",B1665-B1664)</f>
        <v/>
      </c>
    </row>
    <row r="1666">
      <c r="G1666">
        <f>IF(C1666="","",C1666*$N$5)</f>
        <v/>
      </c>
      <c r="H1666">
        <f>IF(C1666="","",AVERAGE(C1663:C1666)*$N$5)</f>
        <v/>
      </c>
      <c r="I1666">
        <f>IF(C1666="","",AVERAGE(C1651:C1666)*$N$5)</f>
        <v/>
      </c>
      <c r="J1666">
        <f>IF(C1666="","",J1665+$N$6*(C1666*$N$5-J1665))</f>
        <v/>
      </c>
      <c r="K1666">
        <f>IF(B1666="","",B1666-B1665)</f>
        <v/>
      </c>
    </row>
    <row r="1667">
      <c r="G1667">
        <f>IF(C1667="","",C1667*$N$5)</f>
        <v/>
      </c>
      <c r="H1667">
        <f>IF(C1667="","",AVERAGE(C1664:C1667)*$N$5)</f>
        <v/>
      </c>
      <c r="I1667">
        <f>IF(C1667="","",AVERAGE(C1652:C1667)*$N$5)</f>
        <v/>
      </c>
      <c r="J1667">
        <f>IF(C1667="","",J1666+$N$6*(C1667*$N$5-J1666))</f>
        <v/>
      </c>
      <c r="K1667">
        <f>IF(B1667="","",B1667-B1666)</f>
        <v/>
      </c>
    </row>
    <row r="1668">
      <c r="G1668">
        <f>IF(C1668="","",C1668*$N$5)</f>
        <v/>
      </c>
      <c r="H1668">
        <f>IF(C1668="","",AVERAGE(C1665:C1668)*$N$5)</f>
        <v/>
      </c>
      <c r="I1668">
        <f>IF(C1668="","",AVERAGE(C1653:C1668)*$N$5)</f>
        <v/>
      </c>
      <c r="J1668">
        <f>IF(C1668="","",J1667+$N$6*(C1668*$N$5-J1667))</f>
        <v/>
      </c>
      <c r="K1668">
        <f>IF(B1668="","",B1668-B1667)</f>
        <v/>
      </c>
    </row>
    <row r="1669">
      <c r="G1669">
        <f>IF(C1669="","",C1669*$N$5)</f>
        <v/>
      </c>
      <c r="H1669">
        <f>IF(C1669="","",AVERAGE(C1666:C1669)*$N$5)</f>
        <v/>
      </c>
      <c r="I1669">
        <f>IF(C1669="","",AVERAGE(C1654:C1669)*$N$5)</f>
        <v/>
      </c>
      <c r="J1669">
        <f>IF(C1669="","",J1668+$N$6*(C1669*$N$5-J1668))</f>
        <v/>
      </c>
      <c r="K1669">
        <f>IF(B1669="","",B1669-B1668)</f>
        <v/>
      </c>
    </row>
    <row r="1670">
      <c r="G1670">
        <f>IF(C1670="","",C1670*$N$5)</f>
        <v/>
      </c>
      <c r="H1670">
        <f>IF(C1670="","",AVERAGE(C1667:C1670)*$N$5)</f>
        <v/>
      </c>
      <c r="I1670">
        <f>IF(C1670="","",AVERAGE(C1655:C1670)*$N$5)</f>
        <v/>
      </c>
      <c r="J1670">
        <f>IF(C1670="","",J1669+$N$6*(C1670*$N$5-J1669))</f>
        <v/>
      </c>
      <c r="K1670">
        <f>IF(B1670="","",B1670-B1669)</f>
        <v/>
      </c>
    </row>
    <row r="1671">
      <c r="G1671">
        <f>IF(C1671="","",C1671*$N$5)</f>
        <v/>
      </c>
      <c r="H1671">
        <f>IF(C1671="","",AVERAGE(C1668:C1671)*$N$5)</f>
        <v/>
      </c>
      <c r="I1671">
        <f>IF(C1671="","",AVERAGE(C1656:C1671)*$N$5)</f>
        <v/>
      </c>
      <c r="J1671">
        <f>IF(C1671="","",J1670+$N$6*(C1671*$N$5-J1670))</f>
        <v/>
      </c>
      <c r="K1671">
        <f>IF(B1671="","",B1671-B1670)</f>
        <v/>
      </c>
    </row>
    <row r="1672">
      <c r="G1672">
        <f>IF(C1672="","",C1672*$N$5)</f>
        <v/>
      </c>
      <c r="H1672">
        <f>IF(C1672="","",AVERAGE(C1669:C1672)*$N$5)</f>
        <v/>
      </c>
      <c r="I1672">
        <f>IF(C1672="","",AVERAGE(C1657:C1672)*$N$5)</f>
        <v/>
      </c>
      <c r="J1672">
        <f>IF(C1672="","",J1671+$N$6*(C1672*$N$5-J1671))</f>
        <v/>
      </c>
      <c r="K1672">
        <f>IF(B1672="","",B1672-B1671)</f>
        <v/>
      </c>
    </row>
    <row r="1673">
      <c r="G1673">
        <f>IF(C1673="","",C1673*$N$5)</f>
        <v/>
      </c>
      <c r="H1673">
        <f>IF(C1673="","",AVERAGE(C1670:C1673)*$N$5)</f>
        <v/>
      </c>
      <c r="I1673">
        <f>IF(C1673="","",AVERAGE(C1658:C1673)*$N$5)</f>
        <v/>
      </c>
      <c r="J1673">
        <f>IF(C1673="","",J1672+$N$6*(C1673*$N$5-J1672))</f>
        <v/>
      </c>
      <c r="K1673">
        <f>IF(B1673="","",B1673-B1672)</f>
        <v/>
      </c>
    </row>
    <row r="1674">
      <c r="G1674">
        <f>IF(C1674="","",C1674*$N$5)</f>
        <v/>
      </c>
      <c r="H1674">
        <f>IF(C1674="","",AVERAGE(C1671:C1674)*$N$5)</f>
        <v/>
      </c>
      <c r="I1674">
        <f>IF(C1674="","",AVERAGE(C1659:C1674)*$N$5)</f>
        <v/>
      </c>
      <c r="J1674">
        <f>IF(C1674="","",J1673+$N$6*(C1674*$N$5-J1673))</f>
        <v/>
      </c>
      <c r="K1674">
        <f>IF(B1674="","",B1674-B1673)</f>
        <v/>
      </c>
    </row>
    <row r="1675">
      <c r="G1675">
        <f>IF(C1675="","",C1675*$N$5)</f>
        <v/>
      </c>
      <c r="H1675">
        <f>IF(C1675="","",AVERAGE(C1672:C1675)*$N$5)</f>
        <v/>
      </c>
      <c r="I1675">
        <f>IF(C1675="","",AVERAGE(C1660:C1675)*$N$5)</f>
        <v/>
      </c>
      <c r="J1675">
        <f>IF(C1675="","",J1674+$N$6*(C1675*$N$5-J1674))</f>
        <v/>
      </c>
      <c r="K1675">
        <f>IF(B1675="","",B1675-B1674)</f>
        <v/>
      </c>
    </row>
    <row r="1676">
      <c r="G1676">
        <f>IF(C1676="","",C1676*$N$5)</f>
        <v/>
      </c>
      <c r="H1676">
        <f>IF(C1676="","",AVERAGE(C1673:C1676)*$N$5)</f>
        <v/>
      </c>
      <c r="I1676">
        <f>IF(C1676="","",AVERAGE(C1661:C1676)*$N$5)</f>
        <v/>
      </c>
      <c r="J1676">
        <f>IF(C1676="","",J1675+$N$6*(C1676*$N$5-J1675))</f>
        <v/>
      </c>
      <c r="K1676">
        <f>IF(B1676="","",B1676-B1675)</f>
        <v/>
      </c>
    </row>
    <row r="1677">
      <c r="G1677">
        <f>IF(C1677="","",C1677*$N$5)</f>
        <v/>
      </c>
      <c r="H1677">
        <f>IF(C1677="","",AVERAGE(C1674:C1677)*$N$5)</f>
        <v/>
      </c>
      <c r="I1677">
        <f>IF(C1677="","",AVERAGE(C1662:C1677)*$N$5)</f>
        <v/>
      </c>
      <c r="J1677">
        <f>IF(C1677="","",J1676+$N$6*(C1677*$N$5-J1676))</f>
        <v/>
      </c>
      <c r="K1677">
        <f>IF(B1677="","",B1677-B1676)</f>
        <v/>
      </c>
    </row>
    <row r="1678">
      <c r="G1678">
        <f>IF(C1678="","",C1678*$N$5)</f>
        <v/>
      </c>
      <c r="H1678">
        <f>IF(C1678="","",AVERAGE(C1675:C1678)*$N$5)</f>
        <v/>
      </c>
      <c r="I1678">
        <f>IF(C1678="","",AVERAGE(C1663:C1678)*$N$5)</f>
        <v/>
      </c>
      <c r="J1678">
        <f>IF(C1678="","",J1677+$N$6*(C1678*$N$5-J1677))</f>
        <v/>
      </c>
      <c r="K1678">
        <f>IF(B1678="","",B1678-B1677)</f>
        <v/>
      </c>
    </row>
    <row r="1679">
      <c r="G1679">
        <f>IF(C1679="","",C1679*$N$5)</f>
        <v/>
      </c>
      <c r="H1679">
        <f>IF(C1679="","",AVERAGE(C1676:C1679)*$N$5)</f>
        <v/>
      </c>
      <c r="I1679">
        <f>IF(C1679="","",AVERAGE(C1664:C1679)*$N$5)</f>
        <v/>
      </c>
      <c r="J1679">
        <f>IF(C1679="","",J1678+$N$6*(C1679*$N$5-J1678))</f>
        <v/>
      </c>
      <c r="K1679">
        <f>IF(B1679="","",B1679-B1678)</f>
        <v/>
      </c>
    </row>
    <row r="1680">
      <c r="G1680">
        <f>IF(C1680="","",C1680*$N$5)</f>
        <v/>
      </c>
      <c r="H1680">
        <f>IF(C1680="","",AVERAGE(C1677:C1680)*$N$5)</f>
        <v/>
      </c>
      <c r="I1680">
        <f>IF(C1680="","",AVERAGE(C1665:C1680)*$N$5)</f>
        <v/>
      </c>
      <c r="J1680">
        <f>IF(C1680="","",J1679+$N$6*(C1680*$N$5-J1679))</f>
        <v/>
      </c>
      <c r="K1680">
        <f>IF(B1680="","",B1680-B1679)</f>
        <v/>
      </c>
    </row>
    <row r="1681">
      <c r="G1681">
        <f>IF(C1681="","",C1681*$N$5)</f>
        <v/>
      </c>
      <c r="H1681">
        <f>IF(C1681="","",AVERAGE(C1678:C1681)*$N$5)</f>
        <v/>
      </c>
      <c r="I1681">
        <f>IF(C1681="","",AVERAGE(C1666:C1681)*$N$5)</f>
        <v/>
      </c>
      <c r="J1681">
        <f>IF(C1681="","",J1680+$N$6*(C1681*$N$5-J1680))</f>
        <v/>
      </c>
      <c r="K1681">
        <f>IF(B1681="","",B1681-B1680)</f>
        <v/>
      </c>
    </row>
    <row r="1682">
      <c r="G1682">
        <f>IF(C1682="","",C1682*$N$5)</f>
        <v/>
      </c>
      <c r="H1682">
        <f>IF(C1682="","",AVERAGE(C1679:C1682)*$N$5)</f>
        <v/>
      </c>
      <c r="I1682">
        <f>IF(C1682="","",AVERAGE(C1667:C1682)*$N$5)</f>
        <v/>
      </c>
      <c r="J1682">
        <f>IF(C1682="","",J1681+$N$6*(C1682*$N$5-J1681))</f>
        <v/>
      </c>
      <c r="K1682">
        <f>IF(B1682="","",B1682-B1681)</f>
        <v/>
      </c>
    </row>
    <row r="1683">
      <c r="G1683">
        <f>IF(C1683="","",C1683*$N$5)</f>
        <v/>
      </c>
      <c r="H1683">
        <f>IF(C1683="","",AVERAGE(C1680:C1683)*$N$5)</f>
        <v/>
      </c>
      <c r="I1683">
        <f>IF(C1683="","",AVERAGE(C1668:C1683)*$N$5)</f>
        <v/>
      </c>
      <c r="J1683">
        <f>IF(C1683="","",J1682+$N$6*(C1683*$N$5-J1682))</f>
        <v/>
      </c>
      <c r="K1683">
        <f>IF(B1683="","",B1683-B1682)</f>
        <v/>
      </c>
    </row>
    <row r="1684">
      <c r="G1684">
        <f>IF(C1684="","",C1684*$N$5)</f>
        <v/>
      </c>
      <c r="H1684">
        <f>IF(C1684="","",AVERAGE(C1681:C1684)*$N$5)</f>
        <v/>
      </c>
      <c r="I1684">
        <f>IF(C1684="","",AVERAGE(C1669:C1684)*$N$5)</f>
        <v/>
      </c>
      <c r="J1684">
        <f>IF(C1684="","",J1683+$N$6*(C1684*$N$5-J1683))</f>
        <v/>
      </c>
      <c r="K1684">
        <f>IF(B1684="","",B1684-B1683)</f>
        <v/>
      </c>
    </row>
    <row r="1685">
      <c r="G1685">
        <f>IF(C1685="","",C1685*$N$5)</f>
        <v/>
      </c>
      <c r="H1685">
        <f>IF(C1685="","",AVERAGE(C1682:C1685)*$N$5)</f>
        <v/>
      </c>
      <c r="I1685">
        <f>IF(C1685="","",AVERAGE(C1670:C1685)*$N$5)</f>
        <v/>
      </c>
      <c r="J1685">
        <f>IF(C1685="","",J1684+$N$6*(C1685*$N$5-J1684))</f>
        <v/>
      </c>
      <c r="K1685">
        <f>IF(B1685="","",B1685-B1684)</f>
        <v/>
      </c>
    </row>
    <row r="1686">
      <c r="G1686">
        <f>IF(C1686="","",C1686*$N$5)</f>
        <v/>
      </c>
      <c r="H1686">
        <f>IF(C1686="","",AVERAGE(C1683:C1686)*$N$5)</f>
        <v/>
      </c>
      <c r="I1686">
        <f>IF(C1686="","",AVERAGE(C1671:C1686)*$N$5)</f>
        <v/>
      </c>
      <c r="J1686">
        <f>IF(C1686="","",J1685+$N$6*(C1686*$N$5-J1685))</f>
        <v/>
      </c>
      <c r="K1686">
        <f>IF(B1686="","",B1686-B1685)</f>
        <v/>
      </c>
    </row>
    <row r="1687">
      <c r="G1687">
        <f>IF(C1687="","",C1687*$N$5)</f>
        <v/>
      </c>
      <c r="H1687">
        <f>IF(C1687="","",AVERAGE(C1684:C1687)*$N$5)</f>
        <v/>
      </c>
      <c r="I1687">
        <f>IF(C1687="","",AVERAGE(C1672:C1687)*$N$5)</f>
        <v/>
      </c>
      <c r="J1687">
        <f>IF(C1687="","",J1686+$N$6*(C1687*$N$5-J1686))</f>
        <v/>
      </c>
      <c r="K1687">
        <f>IF(B1687="","",B1687-B1686)</f>
        <v/>
      </c>
    </row>
    <row r="1688">
      <c r="G1688">
        <f>IF(C1688="","",C1688*$N$5)</f>
        <v/>
      </c>
      <c r="H1688">
        <f>IF(C1688="","",AVERAGE(C1685:C1688)*$N$5)</f>
        <v/>
      </c>
      <c r="I1688">
        <f>IF(C1688="","",AVERAGE(C1673:C1688)*$N$5)</f>
        <v/>
      </c>
      <c r="J1688">
        <f>IF(C1688="","",J1687+$N$6*(C1688*$N$5-J1687))</f>
        <v/>
      </c>
      <c r="K1688">
        <f>IF(B1688="","",B1688-B1687)</f>
        <v/>
      </c>
    </row>
    <row r="1689">
      <c r="G1689">
        <f>IF(C1689="","",C1689*$N$5)</f>
        <v/>
      </c>
      <c r="H1689">
        <f>IF(C1689="","",AVERAGE(C1686:C1689)*$N$5)</f>
        <v/>
      </c>
      <c r="I1689">
        <f>IF(C1689="","",AVERAGE(C1674:C1689)*$N$5)</f>
        <v/>
      </c>
      <c r="J1689">
        <f>IF(C1689="","",J1688+$N$6*(C1689*$N$5-J1688))</f>
        <v/>
      </c>
      <c r="K1689">
        <f>IF(B1689="","",B1689-B1688)</f>
        <v/>
      </c>
    </row>
    <row r="1690">
      <c r="G1690">
        <f>IF(C1690="","",C1690*$N$5)</f>
        <v/>
      </c>
      <c r="H1690">
        <f>IF(C1690="","",AVERAGE(C1687:C1690)*$N$5)</f>
        <v/>
      </c>
      <c r="I1690">
        <f>IF(C1690="","",AVERAGE(C1675:C1690)*$N$5)</f>
        <v/>
      </c>
      <c r="J1690">
        <f>IF(C1690="","",J1689+$N$6*(C1690*$N$5-J1689))</f>
        <v/>
      </c>
      <c r="K1690">
        <f>IF(B1690="","",B1690-B1689)</f>
        <v/>
      </c>
    </row>
    <row r="1691">
      <c r="G1691">
        <f>IF(C1691="","",C1691*$N$5)</f>
        <v/>
      </c>
      <c r="H1691">
        <f>IF(C1691="","",AVERAGE(C1688:C1691)*$N$5)</f>
        <v/>
      </c>
      <c r="I1691">
        <f>IF(C1691="","",AVERAGE(C1676:C1691)*$N$5)</f>
        <v/>
      </c>
      <c r="J1691">
        <f>IF(C1691="","",J1690+$N$6*(C1691*$N$5-J1690))</f>
        <v/>
      </c>
      <c r="K1691">
        <f>IF(B1691="","",B1691-B1690)</f>
        <v/>
      </c>
    </row>
    <row r="1692">
      <c r="G1692">
        <f>IF(C1692="","",C1692*$N$5)</f>
        <v/>
      </c>
      <c r="H1692">
        <f>IF(C1692="","",AVERAGE(C1689:C1692)*$N$5)</f>
        <v/>
      </c>
      <c r="I1692">
        <f>IF(C1692="","",AVERAGE(C1677:C1692)*$N$5)</f>
        <v/>
      </c>
      <c r="J1692">
        <f>IF(C1692="","",J1691+$N$6*(C1692*$N$5-J1691))</f>
        <v/>
      </c>
      <c r="K1692">
        <f>IF(B1692="","",B1692-B1691)</f>
        <v/>
      </c>
    </row>
    <row r="1693">
      <c r="G1693">
        <f>IF(C1693="","",C1693*$N$5)</f>
        <v/>
      </c>
      <c r="H1693">
        <f>IF(C1693="","",AVERAGE(C1690:C1693)*$N$5)</f>
        <v/>
      </c>
      <c r="I1693">
        <f>IF(C1693="","",AVERAGE(C1678:C1693)*$N$5)</f>
        <v/>
      </c>
      <c r="J1693">
        <f>IF(C1693="","",J1692+$N$6*(C1693*$N$5-J1692))</f>
        <v/>
      </c>
      <c r="K1693">
        <f>IF(B1693="","",B1693-B1692)</f>
        <v/>
      </c>
    </row>
    <row r="1694">
      <c r="G1694">
        <f>IF(C1694="","",C1694*$N$5)</f>
        <v/>
      </c>
      <c r="H1694">
        <f>IF(C1694="","",AVERAGE(C1691:C1694)*$N$5)</f>
        <v/>
      </c>
      <c r="I1694">
        <f>IF(C1694="","",AVERAGE(C1679:C1694)*$N$5)</f>
        <v/>
      </c>
      <c r="J1694">
        <f>IF(C1694="","",J1693+$N$6*(C1694*$N$5-J1693))</f>
        <v/>
      </c>
      <c r="K1694">
        <f>IF(B1694="","",B1694-B1693)</f>
        <v/>
      </c>
    </row>
    <row r="1695">
      <c r="G1695">
        <f>IF(C1695="","",C1695*$N$5)</f>
        <v/>
      </c>
      <c r="H1695">
        <f>IF(C1695="","",AVERAGE(C1692:C1695)*$N$5)</f>
        <v/>
      </c>
      <c r="I1695">
        <f>IF(C1695="","",AVERAGE(C1680:C1695)*$N$5)</f>
        <v/>
      </c>
      <c r="J1695">
        <f>IF(C1695="","",J1694+$N$6*(C1695*$N$5-J1694))</f>
        <v/>
      </c>
      <c r="K1695">
        <f>IF(B1695="","",B1695-B1694)</f>
        <v/>
      </c>
    </row>
    <row r="1696">
      <c r="G1696">
        <f>IF(C1696="","",C1696*$N$5)</f>
        <v/>
      </c>
      <c r="H1696">
        <f>IF(C1696="","",AVERAGE(C1693:C1696)*$N$5)</f>
        <v/>
      </c>
      <c r="I1696">
        <f>IF(C1696="","",AVERAGE(C1681:C1696)*$N$5)</f>
        <v/>
      </c>
      <c r="J1696">
        <f>IF(C1696="","",J1695+$N$6*(C1696*$N$5-J1695))</f>
        <v/>
      </c>
      <c r="K1696">
        <f>IF(B1696="","",B1696-B1695)</f>
        <v/>
      </c>
    </row>
    <row r="1697">
      <c r="G1697">
        <f>IF(C1697="","",C1697*$N$5)</f>
        <v/>
      </c>
      <c r="H1697">
        <f>IF(C1697="","",AVERAGE(C1694:C1697)*$N$5)</f>
        <v/>
      </c>
      <c r="I1697">
        <f>IF(C1697="","",AVERAGE(C1682:C1697)*$N$5)</f>
        <v/>
      </c>
      <c r="J1697">
        <f>IF(C1697="","",J1696+$N$6*(C1697*$N$5-J1696))</f>
        <v/>
      </c>
      <c r="K1697">
        <f>IF(B1697="","",B1697-B1696)</f>
        <v/>
      </c>
    </row>
    <row r="1698">
      <c r="G1698">
        <f>IF(C1698="","",C1698*$N$5)</f>
        <v/>
      </c>
      <c r="H1698">
        <f>IF(C1698="","",AVERAGE(C1695:C1698)*$N$5)</f>
        <v/>
      </c>
      <c r="I1698">
        <f>IF(C1698="","",AVERAGE(C1683:C1698)*$N$5)</f>
        <v/>
      </c>
      <c r="J1698">
        <f>IF(C1698="","",J1697+$N$6*(C1698*$N$5-J1697))</f>
        <v/>
      </c>
      <c r="K1698">
        <f>IF(B1698="","",B1698-B1697)</f>
        <v/>
      </c>
    </row>
    <row r="1699">
      <c r="G1699">
        <f>IF(C1699="","",C1699*$N$5)</f>
        <v/>
      </c>
      <c r="H1699">
        <f>IF(C1699="","",AVERAGE(C1696:C1699)*$N$5)</f>
        <v/>
      </c>
      <c r="I1699">
        <f>IF(C1699="","",AVERAGE(C1684:C1699)*$N$5)</f>
        <v/>
      </c>
      <c r="J1699">
        <f>IF(C1699="","",J1698+$N$6*(C1699*$N$5-J1698))</f>
        <v/>
      </c>
      <c r="K1699">
        <f>IF(B1699="","",B1699-B1698)</f>
        <v/>
      </c>
    </row>
    <row r="1700">
      <c r="G1700">
        <f>IF(C1700="","",C1700*$N$5)</f>
        <v/>
      </c>
      <c r="H1700">
        <f>IF(C1700="","",AVERAGE(C1697:C1700)*$N$5)</f>
        <v/>
      </c>
      <c r="I1700">
        <f>IF(C1700="","",AVERAGE(C1685:C1700)*$N$5)</f>
        <v/>
      </c>
      <c r="J1700">
        <f>IF(C1700="","",J1699+$N$6*(C1700*$N$5-J1699))</f>
        <v/>
      </c>
      <c r="K1700">
        <f>IF(B1700="","",B1700-B1699)</f>
        <v/>
      </c>
    </row>
    <row r="1701">
      <c r="G1701">
        <f>IF(C1701="","",C1701*$N$5)</f>
        <v/>
      </c>
      <c r="H1701">
        <f>IF(C1701="","",AVERAGE(C1698:C1701)*$N$5)</f>
        <v/>
      </c>
      <c r="I1701">
        <f>IF(C1701="","",AVERAGE(C1686:C1701)*$N$5)</f>
        <v/>
      </c>
      <c r="J1701">
        <f>IF(C1701="","",J1700+$N$6*(C1701*$N$5-J1700))</f>
        <v/>
      </c>
      <c r="K1701">
        <f>IF(B1701="","",B1701-B1700)</f>
        <v/>
      </c>
    </row>
    <row r="1702">
      <c r="G1702">
        <f>IF(C1702="","",C1702*$N$5)</f>
        <v/>
      </c>
      <c r="H1702">
        <f>IF(C1702="","",AVERAGE(C1699:C1702)*$N$5)</f>
        <v/>
      </c>
      <c r="I1702">
        <f>IF(C1702="","",AVERAGE(C1687:C1702)*$N$5)</f>
        <v/>
      </c>
      <c r="J1702">
        <f>IF(C1702="","",J1701+$N$6*(C1702*$N$5-J1701))</f>
        <v/>
      </c>
      <c r="K1702">
        <f>IF(B1702="","",B1702-B1701)</f>
        <v/>
      </c>
    </row>
    <row r="1703">
      <c r="G1703">
        <f>IF(C1703="","",C1703*$N$5)</f>
        <v/>
      </c>
      <c r="H1703">
        <f>IF(C1703="","",AVERAGE(C1700:C1703)*$N$5)</f>
        <v/>
      </c>
      <c r="I1703">
        <f>IF(C1703="","",AVERAGE(C1688:C1703)*$N$5)</f>
        <v/>
      </c>
      <c r="J1703">
        <f>IF(C1703="","",J1702+$N$6*(C1703*$N$5-J1702))</f>
        <v/>
      </c>
      <c r="K1703">
        <f>IF(B1703="","",B1703-B1702)</f>
        <v/>
      </c>
    </row>
    <row r="1704">
      <c r="G1704">
        <f>IF(C1704="","",C1704*$N$5)</f>
        <v/>
      </c>
      <c r="H1704">
        <f>IF(C1704="","",AVERAGE(C1701:C1704)*$N$5)</f>
        <v/>
      </c>
      <c r="I1704">
        <f>IF(C1704="","",AVERAGE(C1689:C1704)*$N$5)</f>
        <v/>
      </c>
      <c r="J1704">
        <f>IF(C1704="","",J1703+$N$6*(C1704*$N$5-J1703))</f>
        <v/>
      </c>
      <c r="K1704">
        <f>IF(B1704="","",B1704-B1703)</f>
        <v/>
      </c>
    </row>
    <row r="1705">
      <c r="G1705">
        <f>IF(C1705="","",C1705*$N$5)</f>
        <v/>
      </c>
      <c r="H1705">
        <f>IF(C1705="","",AVERAGE(C1702:C1705)*$N$5)</f>
        <v/>
      </c>
      <c r="I1705">
        <f>IF(C1705="","",AVERAGE(C1690:C1705)*$N$5)</f>
        <v/>
      </c>
      <c r="J1705">
        <f>IF(C1705="","",J1704+$N$6*(C1705*$N$5-J1704))</f>
        <v/>
      </c>
      <c r="K1705">
        <f>IF(B1705="","",B1705-B1704)</f>
        <v/>
      </c>
    </row>
    <row r="1706">
      <c r="G1706">
        <f>IF(C1706="","",C1706*$N$5)</f>
        <v/>
      </c>
      <c r="H1706">
        <f>IF(C1706="","",AVERAGE(C1703:C1706)*$N$5)</f>
        <v/>
      </c>
      <c r="I1706">
        <f>IF(C1706="","",AVERAGE(C1691:C1706)*$N$5)</f>
        <v/>
      </c>
      <c r="J1706">
        <f>IF(C1706="","",J1705+$N$6*(C1706*$N$5-J1705))</f>
        <v/>
      </c>
      <c r="K1706">
        <f>IF(B1706="","",B1706-B1705)</f>
        <v/>
      </c>
    </row>
    <row r="1707">
      <c r="G1707">
        <f>IF(C1707="","",C1707*$N$5)</f>
        <v/>
      </c>
      <c r="H1707">
        <f>IF(C1707="","",AVERAGE(C1704:C1707)*$N$5)</f>
        <v/>
      </c>
      <c r="I1707">
        <f>IF(C1707="","",AVERAGE(C1692:C1707)*$N$5)</f>
        <v/>
      </c>
      <c r="J1707">
        <f>IF(C1707="","",J1706+$N$6*(C1707*$N$5-J1706))</f>
        <v/>
      </c>
      <c r="K1707">
        <f>IF(B1707="","",B1707-B1706)</f>
        <v/>
      </c>
    </row>
    <row r="1708">
      <c r="G1708">
        <f>IF(C1708="","",C1708*$N$5)</f>
        <v/>
      </c>
      <c r="H1708">
        <f>IF(C1708="","",AVERAGE(C1705:C1708)*$N$5)</f>
        <v/>
      </c>
      <c r="I1708">
        <f>IF(C1708="","",AVERAGE(C1693:C1708)*$N$5)</f>
        <v/>
      </c>
      <c r="J1708">
        <f>IF(C1708="","",J1707+$N$6*(C1708*$N$5-J1707))</f>
        <v/>
      </c>
      <c r="K1708">
        <f>IF(B1708="","",B1708-B1707)</f>
        <v/>
      </c>
    </row>
    <row r="1709">
      <c r="G1709">
        <f>IF(C1709="","",C1709*$N$5)</f>
        <v/>
      </c>
      <c r="H1709">
        <f>IF(C1709="","",AVERAGE(C1706:C1709)*$N$5)</f>
        <v/>
      </c>
      <c r="I1709">
        <f>IF(C1709="","",AVERAGE(C1694:C1709)*$N$5)</f>
        <v/>
      </c>
      <c r="J1709">
        <f>IF(C1709="","",J1708+$N$6*(C1709*$N$5-J1708))</f>
        <v/>
      </c>
      <c r="K1709">
        <f>IF(B1709="","",B1709-B1708)</f>
        <v/>
      </c>
    </row>
    <row r="1710">
      <c r="G1710">
        <f>IF(C1710="","",C1710*$N$5)</f>
        <v/>
      </c>
      <c r="H1710">
        <f>IF(C1710="","",AVERAGE(C1707:C1710)*$N$5)</f>
        <v/>
      </c>
      <c r="I1710">
        <f>IF(C1710="","",AVERAGE(C1695:C1710)*$N$5)</f>
        <v/>
      </c>
      <c r="J1710">
        <f>IF(C1710="","",J1709+$N$6*(C1710*$N$5-J1709))</f>
        <v/>
      </c>
      <c r="K1710">
        <f>IF(B1710="","",B1710-B1709)</f>
        <v/>
      </c>
    </row>
    <row r="1711">
      <c r="G1711">
        <f>IF(C1711="","",C1711*$N$5)</f>
        <v/>
      </c>
      <c r="H1711">
        <f>IF(C1711="","",AVERAGE(C1708:C1711)*$N$5)</f>
        <v/>
      </c>
      <c r="I1711">
        <f>IF(C1711="","",AVERAGE(C1696:C1711)*$N$5)</f>
        <v/>
      </c>
      <c r="J1711">
        <f>IF(C1711="","",J1710+$N$6*(C1711*$N$5-J1710))</f>
        <v/>
      </c>
      <c r="K1711">
        <f>IF(B1711="","",B1711-B1710)</f>
        <v/>
      </c>
    </row>
    <row r="1712">
      <c r="G1712">
        <f>IF(C1712="","",C1712*$N$5)</f>
        <v/>
      </c>
      <c r="H1712">
        <f>IF(C1712="","",AVERAGE(C1709:C1712)*$N$5)</f>
        <v/>
      </c>
      <c r="I1712">
        <f>IF(C1712="","",AVERAGE(C1697:C1712)*$N$5)</f>
        <v/>
      </c>
      <c r="J1712">
        <f>IF(C1712="","",J1711+$N$6*(C1712*$N$5-J1711))</f>
        <v/>
      </c>
      <c r="K1712">
        <f>IF(B1712="","",B1712-B1711)</f>
        <v/>
      </c>
    </row>
    <row r="1713">
      <c r="G1713">
        <f>IF(C1713="","",C1713*$N$5)</f>
        <v/>
      </c>
      <c r="H1713">
        <f>IF(C1713="","",AVERAGE(C1710:C1713)*$N$5)</f>
        <v/>
      </c>
      <c r="I1713">
        <f>IF(C1713="","",AVERAGE(C1698:C1713)*$N$5)</f>
        <v/>
      </c>
      <c r="J1713">
        <f>IF(C1713="","",J1712+$N$6*(C1713*$N$5-J1712))</f>
        <v/>
      </c>
      <c r="K1713">
        <f>IF(B1713="","",B1713-B1712)</f>
        <v/>
      </c>
    </row>
    <row r="1714">
      <c r="G1714">
        <f>IF(C1714="","",C1714*$N$5)</f>
        <v/>
      </c>
      <c r="H1714">
        <f>IF(C1714="","",AVERAGE(C1711:C1714)*$N$5)</f>
        <v/>
      </c>
      <c r="I1714">
        <f>IF(C1714="","",AVERAGE(C1699:C1714)*$N$5)</f>
        <v/>
      </c>
      <c r="J1714">
        <f>IF(C1714="","",J1713+$N$6*(C1714*$N$5-J1713))</f>
        <v/>
      </c>
      <c r="K1714">
        <f>IF(B1714="","",B1714-B1713)</f>
        <v/>
      </c>
    </row>
    <row r="1715">
      <c r="G1715">
        <f>IF(C1715="","",C1715*$N$5)</f>
        <v/>
      </c>
      <c r="H1715">
        <f>IF(C1715="","",AVERAGE(C1712:C1715)*$N$5)</f>
        <v/>
      </c>
      <c r="I1715">
        <f>IF(C1715="","",AVERAGE(C1700:C1715)*$N$5)</f>
        <v/>
      </c>
      <c r="J1715">
        <f>IF(C1715="","",J1714+$N$6*(C1715*$N$5-J1714))</f>
        <v/>
      </c>
      <c r="K1715">
        <f>IF(B1715="","",B1715-B1714)</f>
        <v/>
      </c>
    </row>
    <row r="1716">
      <c r="G1716">
        <f>IF(C1716="","",C1716*$N$5)</f>
        <v/>
      </c>
      <c r="H1716">
        <f>IF(C1716="","",AVERAGE(C1713:C1716)*$N$5)</f>
        <v/>
      </c>
      <c r="I1716">
        <f>IF(C1716="","",AVERAGE(C1701:C1716)*$N$5)</f>
        <v/>
      </c>
      <c r="J1716">
        <f>IF(C1716="","",J1715+$N$6*(C1716*$N$5-J1715))</f>
        <v/>
      </c>
      <c r="K1716">
        <f>IF(B1716="","",B1716-B1715)</f>
        <v/>
      </c>
    </row>
    <row r="1717">
      <c r="G1717">
        <f>IF(C1717="","",C1717*$N$5)</f>
        <v/>
      </c>
      <c r="H1717">
        <f>IF(C1717="","",AVERAGE(C1714:C1717)*$N$5)</f>
        <v/>
      </c>
      <c r="I1717">
        <f>IF(C1717="","",AVERAGE(C1702:C1717)*$N$5)</f>
        <v/>
      </c>
      <c r="J1717">
        <f>IF(C1717="","",J1716+$N$6*(C1717*$N$5-J1716))</f>
        <v/>
      </c>
      <c r="K1717">
        <f>IF(B1717="","",B1717-B1716)</f>
        <v/>
      </c>
    </row>
    <row r="1718">
      <c r="G1718">
        <f>IF(C1718="","",C1718*$N$5)</f>
        <v/>
      </c>
      <c r="H1718">
        <f>IF(C1718="","",AVERAGE(C1715:C1718)*$N$5)</f>
        <v/>
      </c>
      <c r="I1718">
        <f>IF(C1718="","",AVERAGE(C1703:C1718)*$N$5)</f>
        <v/>
      </c>
      <c r="J1718">
        <f>IF(C1718="","",J1717+$N$6*(C1718*$N$5-J1717))</f>
        <v/>
      </c>
      <c r="K1718">
        <f>IF(B1718="","",B1718-B1717)</f>
        <v/>
      </c>
    </row>
    <row r="1719">
      <c r="G1719">
        <f>IF(C1719="","",C1719*$N$5)</f>
        <v/>
      </c>
      <c r="H1719">
        <f>IF(C1719="","",AVERAGE(C1716:C1719)*$N$5)</f>
        <v/>
      </c>
      <c r="I1719">
        <f>IF(C1719="","",AVERAGE(C1704:C1719)*$N$5)</f>
        <v/>
      </c>
      <c r="J1719">
        <f>IF(C1719="","",J1718+$N$6*(C1719*$N$5-J1718))</f>
        <v/>
      </c>
      <c r="K1719">
        <f>IF(B1719="","",B1719-B1718)</f>
        <v/>
      </c>
    </row>
    <row r="1720">
      <c r="G1720">
        <f>IF(C1720="","",C1720*$N$5)</f>
        <v/>
      </c>
      <c r="H1720">
        <f>IF(C1720="","",AVERAGE(C1717:C1720)*$N$5)</f>
        <v/>
      </c>
      <c r="I1720">
        <f>IF(C1720="","",AVERAGE(C1705:C1720)*$N$5)</f>
        <v/>
      </c>
      <c r="J1720">
        <f>IF(C1720="","",J1719+$N$6*(C1720*$N$5-J1719))</f>
        <v/>
      </c>
      <c r="K1720">
        <f>IF(B1720="","",B1720-B1719)</f>
        <v/>
      </c>
    </row>
    <row r="1721">
      <c r="G1721">
        <f>IF(C1721="","",C1721*$N$5)</f>
        <v/>
      </c>
      <c r="H1721">
        <f>IF(C1721="","",AVERAGE(C1718:C1721)*$N$5)</f>
        <v/>
      </c>
      <c r="I1721">
        <f>IF(C1721="","",AVERAGE(C1706:C1721)*$N$5)</f>
        <v/>
      </c>
      <c r="J1721">
        <f>IF(C1721="","",J1720+$N$6*(C1721*$N$5-J1720))</f>
        <v/>
      </c>
      <c r="K1721">
        <f>IF(B1721="","",B1721-B1720)</f>
        <v/>
      </c>
    </row>
    <row r="1722">
      <c r="G1722">
        <f>IF(C1722="","",C1722*$N$5)</f>
        <v/>
      </c>
      <c r="H1722">
        <f>IF(C1722="","",AVERAGE(C1719:C1722)*$N$5)</f>
        <v/>
      </c>
      <c r="I1722">
        <f>IF(C1722="","",AVERAGE(C1707:C1722)*$N$5)</f>
        <v/>
      </c>
      <c r="J1722">
        <f>IF(C1722="","",J1721+$N$6*(C1722*$N$5-J1721))</f>
        <v/>
      </c>
      <c r="K1722">
        <f>IF(B1722="","",B1722-B1721)</f>
        <v/>
      </c>
    </row>
    <row r="1723">
      <c r="G1723">
        <f>IF(C1723="","",C1723*$N$5)</f>
        <v/>
      </c>
      <c r="H1723">
        <f>IF(C1723="","",AVERAGE(C1720:C1723)*$N$5)</f>
        <v/>
      </c>
      <c r="I1723">
        <f>IF(C1723="","",AVERAGE(C1708:C1723)*$N$5)</f>
        <v/>
      </c>
      <c r="J1723">
        <f>IF(C1723="","",J1722+$N$6*(C1723*$N$5-J1722))</f>
        <v/>
      </c>
      <c r="K1723">
        <f>IF(B1723="","",B1723-B1722)</f>
        <v/>
      </c>
    </row>
    <row r="1724">
      <c r="G1724">
        <f>IF(C1724="","",C1724*$N$5)</f>
        <v/>
      </c>
      <c r="H1724">
        <f>IF(C1724="","",AVERAGE(C1721:C1724)*$N$5)</f>
        <v/>
      </c>
      <c r="I1724">
        <f>IF(C1724="","",AVERAGE(C1709:C1724)*$N$5)</f>
        <v/>
      </c>
      <c r="J1724">
        <f>IF(C1724="","",J1723+$N$6*(C1724*$N$5-J1723))</f>
        <v/>
      </c>
      <c r="K1724">
        <f>IF(B1724="","",B1724-B1723)</f>
        <v/>
      </c>
    </row>
    <row r="1725">
      <c r="G1725">
        <f>IF(C1725="","",C1725*$N$5)</f>
        <v/>
      </c>
      <c r="H1725">
        <f>IF(C1725="","",AVERAGE(C1722:C1725)*$N$5)</f>
        <v/>
      </c>
      <c r="I1725">
        <f>IF(C1725="","",AVERAGE(C1710:C1725)*$N$5)</f>
        <v/>
      </c>
      <c r="J1725">
        <f>IF(C1725="","",J1724+$N$6*(C1725*$N$5-J1724))</f>
        <v/>
      </c>
      <c r="K1725">
        <f>IF(B1725="","",B1725-B1724)</f>
        <v/>
      </c>
    </row>
    <row r="1726">
      <c r="G1726">
        <f>IF(C1726="","",C1726*$N$5)</f>
        <v/>
      </c>
      <c r="H1726">
        <f>IF(C1726="","",AVERAGE(C1723:C1726)*$N$5)</f>
        <v/>
      </c>
      <c r="I1726">
        <f>IF(C1726="","",AVERAGE(C1711:C1726)*$N$5)</f>
        <v/>
      </c>
      <c r="J1726">
        <f>IF(C1726="","",J1725+$N$6*(C1726*$N$5-J1725))</f>
        <v/>
      </c>
      <c r="K1726">
        <f>IF(B1726="","",B1726-B1725)</f>
        <v/>
      </c>
    </row>
    <row r="1727">
      <c r="G1727">
        <f>IF(C1727="","",C1727*$N$5)</f>
        <v/>
      </c>
      <c r="H1727">
        <f>IF(C1727="","",AVERAGE(C1724:C1727)*$N$5)</f>
        <v/>
      </c>
      <c r="I1727">
        <f>IF(C1727="","",AVERAGE(C1712:C1727)*$N$5)</f>
        <v/>
      </c>
      <c r="J1727">
        <f>IF(C1727="","",J1726+$N$6*(C1727*$N$5-J1726))</f>
        <v/>
      </c>
      <c r="K1727">
        <f>IF(B1727="","",B1727-B1726)</f>
        <v/>
      </c>
    </row>
    <row r="1728">
      <c r="G1728">
        <f>IF(C1728="","",C1728*$N$5)</f>
        <v/>
      </c>
      <c r="H1728">
        <f>IF(C1728="","",AVERAGE(C1725:C1728)*$N$5)</f>
        <v/>
      </c>
      <c r="I1728">
        <f>IF(C1728="","",AVERAGE(C1713:C1728)*$N$5)</f>
        <v/>
      </c>
      <c r="J1728">
        <f>IF(C1728="","",J1727+$N$6*(C1728*$N$5-J1727))</f>
        <v/>
      </c>
      <c r="K1728">
        <f>IF(B1728="","",B1728-B1727)</f>
        <v/>
      </c>
    </row>
    <row r="1729">
      <c r="G1729">
        <f>IF(C1729="","",C1729*$N$5)</f>
        <v/>
      </c>
      <c r="H1729">
        <f>IF(C1729="","",AVERAGE(C1726:C1729)*$N$5)</f>
        <v/>
      </c>
      <c r="I1729">
        <f>IF(C1729="","",AVERAGE(C1714:C1729)*$N$5)</f>
        <v/>
      </c>
      <c r="J1729">
        <f>IF(C1729="","",J1728+$N$6*(C1729*$N$5-J1728))</f>
        <v/>
      </c>
      <c r="K1729">
        <f>IF(B1729="","",B1729-B1728)</f>
        <v/>
      </c>
    </row>
    <row r="1730">
      <c r="G1730">
        <f>IF(C1730="","",C1730*$N$5)</f>
        <v/>
      </c>
      <c r="H1730">
        <f>IF(C1730="","",AVERAGE(C1727:C1730)*$N$5)</f>
        <v/>
      </c>
      <c r="I1730">
        <f>IF(C1730="","",AVERAGE(C1715:C1730)*$N$5)</f>
        <v/>
      </c>
      <c r="J1730">
        <f>IF(C1730="","",J1729+$N$6*(C1730*$N$5-J1729))</f>
        <v/>
      </c>
      <c r="K1730">
        <f>IF(B1730="","",B1730-B1729)</f>
        <v/>
      </c>
    </row>
    <row r="1731">
      <c r="G1731">
        <f>IF(C1731="","",C1731*$N$5)</f>
        <v/>
      </c>
      <c r="H1731">
        <f>IF(C1731="","",AVERAGE(C1728:C1731)*$N$5)</f>
        <v/>
      </c>
      <c r="I1731">
        <f>IF(C1731="","",AVERAGE(C1716:C1731)*$N$5)</f>
        <v/>
      </c>
      <c r="J1731">
        <f>IF(C1731="","",J1730+$N$6*(C1731*$N$5-J1730))</f>
        <v/>
      </c>
      <c r="K1731">
        <f>IF(B1731="","",B1731-B1730)</f>
        <v/>
      </c>
    </row>
    <row r="1732">
      <c r="G1732">
        <f>IF(C1732="","",C1732*$N$5)</f>
        <v/>
      </c>
      <c r="H1732">
        <f>IF(C1732="","",AVERAGE(C1729:C1732)*$N$5)</f>
        <v/>
      </c>
      <c r="I1732">
        <f>IF(C1732="","",AVERAGE(C1717:C1732)*$N$5)</f>
        <v/>
      </c>
      <c r="J1732">
        <f>IF(C1732="","",J1731+$N$6*(C1732*$N$5-J1731))</f>
        <v/>
      </c>
      <c r="K1732">
        <f>IF(B1732="","",B1732-B1731)</f>
        <v/>
      </c>
    </row>
    <row r="1733">
      <c r="G1733">
        <f>IF(C1733="","",C1733*$N$5)</f>
        <v/>
      </c>
      <c r="H1733">
        <f>IF(C1733="","",AVERAGE(C1730:C1733)*$N$5)</f>
        <v/>
      </c>
      <c r="I1733">
        <f>IF(C1733="","",AVERAGE(C1718:C1733)*$N$5)</f>
        <v/>
      </c>
      <c r="J1733">
        <f>IF(C1733="","",J1732+$N$6*(C1733*$N$5-J1732))</f>
        <v/>
      </c>
      <c r="K1733">
        <f>IF(B1733="","",B1733-B1732)</f>
        <v/>
      </c>
    </row>
    <row r="1734">
      <c r="G1734">
        <f>IF(C1734="","",C1734*$N$5)</f>
        <v/>
      </c>
      <c r="H1734">
        <f>IF(C1734="","",AVERAGE(C1731:C1734)*$N$5)</f>
        <v/>
      </c>
      <c r="I1734">
        <f>IF(C1734="","",AVERAGE(C1719:C1734)*$N$5)</f>
        <v/>
      </c>
      <c r="J1734">
        <f>IF(C1734="","",J1733+$N$6*(C1734*$N$5-J1733))</f>
        <v/>
      </c>
      <c r="K1734">
        <f>IF(B1734="","",B1734-B1733)</f>
        <v/>
      </c>
    </row>
    <row r="1735">
      <c r="G1735">
        <f>IF(C1735="","",C1735*$N$5)</f>
        <v/>
      </c>
      <c r="H1735">
        <f>IF(C1735="","",AVERAGE(C1732:C1735)*$N$5)</f>
        <v/>
      </c>
      <c r="I1735">
        <f>IF(C1735="","",AVERAGE(C1720:C1735)*$N$5)</f>
        <v/>
      </c>
      <c r="J1735">
        <f>IF(C1735="","",J1734+$N$6*(C1735*$N$5-J1734))</f>
        <v/>
      </c>
      <c r="K1735">
        <f>IF(B1735="","",B1735-B1734)</f>
        <v/>
      </c>
    </row>
    <row r="1736">
      <c r="G1736">
        <f>IF(C1736="","",C1736*$N$5)</f>
        <v/>
      </c>
      <c r="H1736">
        <f>IF(C1736="","",AVERAGE(C1733:C1736)*$N$5)</f>
        <v/>
      </c>
      <c r="I1736">
        <f>IF(C1736="","",AVERAGE(C1721:C1736)*$N$5)</f>
        <v/>
      </c>
      <c r="J1736">
        <f>IF(C1736="","",J1735+$N$6*(C1736*$N$5-J1735))</f>
        <v/>
      </c>
      <c r="K1736">
        <f>IF(B1736="","",B1736-B1735)</f>
        <v/>
      </c>
    </row>
    <row r="1737">
      <c r="G1737">
        <f>IF(C1737="","",C1737*$N$5)</f>
        <v/>
      </c>
      <c r="H1737">
        <f>IF(C1737="","",AVERAGE(C1734:C1737)*$N$5)</f>
        <v/>
      </c>
      <c r="I1737">
        <f>IF(C1737="","",AVERAGE(C1722:C1737)*$N$5)</f>
        <v/>
      </c>
      <c r="J1737">
        <f>IF(C1737="","",J1736+$N$6*(C1737*$N$5-J1736))</f>
        <v/>
      </c>
      <c r="K1737">
        <f>IF(B1737="","",B1737-B1736)</f>
        <v/>
      </c>
    </row>
    <row r="1738">
      <c r="G1738">
        <f>IF(C1738="","",C1738*$N$5)</f>
        <v/>
      </c>
      <c r="H1738">
        <f>IF(C1738="","",AVERAGE(C1735:C1738)*$N$5)</f>
        <v/>
      </c>
      <c r="I1738">
        <f>IF(C1738="","",AVERAGE(C1723:C1738)*$N$5)</f>
        <v/>
      </c>
      <c r="J1738">
        <f>IF(C1738="","",J1737+$N$6*(C1738*$N$5-J1737))</f>
        <v/>
      </c>
      <c r="K1738">
        <f>IF(B1738="","",B1738-B1737)</f>
        <v/>
      </c>
    </row>
    <row r="1739">
      <c r="G1739">
        <f>IF(C1739="","",C1739*$N$5)</f>
        <v/>
      </c>
      <c r="H1739">
        <f>IF(C1739="","",AVERAGE(C1736:C1739)*$N$5)</f>
        <v/>
      </c>
      <c r="I1739">
        <f>IF(C1739="","",AVERAGE(C1724:C1739)*$N$5)</f>
        <v/>
      </c>
      <c r="J1739">
        <f>IF(C1739="","",J1738+$N$6*(C1739*$N$5-J1738))</f>
        <v/>
      </c>
      <c r="K1739">
        <f>IF(B1739="","",B1739-B1738)</f>
        <v/>
      </c>
    </row>
    <row r="1740">
      <c r="G1740">
        <f>IF(C1740="","",C1740*$N$5)</f>
        <v/>
      </c>
      <c r="H1740">
        <f>IF(C1740="","",AVERAGE(C1737:C1740)*$N$5)</f>
        <v/>
      </c>
      <c r="I1740">
        <f>IF(C1740="","",AVERAGE(C1725:C1740)*$N$5)</f>
        <v/>
      </c>
      <c r="J1740">
        <f>IF(C1740="","",J1739+$N$6*(C1740*$N$5-J1739))</f>
        <v/>
      </c>
      <c r="K1740">
        <f>IF(B1740="","",B1740-B1739)</f>
        <v/>
      </c>
    </row>
    <row r="1741">
      <c r="G1741">
        <f>IF(C1741="","",C1741*$N$5)</f>
        <v/>
      </c>
      <c r="H1741">
        <f>IF(C1741="","",AVERAGE(C1738:C1741)*$N$5)</f>
        <v/>
      </c>
      <c r="I1741">
        <f>IF(C1741="","",AVERAGE(C1726:C1741)*$N$5)</f>
        <v/>
      </c>
      <c r="J1741">
        <f>IF(C1741="","",J1740+$N$6*(C1741*$N$5-J1740))</f>
        <v/>
      </c>
      <c r="K1741">
        <f>IF(B1741="","",B1741-B1740)</f>
        <v/>
      </c>
    </row>
    <row r="1742">
      <c r="G1742">
        <f>IF(C1742="","",C1742*$N$5)</f>
        <v/>
      </c>
      <c r="H1742">
        <f>IF(C1742="","",AVERAGE(C1739:C1742)*$N$5)</f>
        <v/>
      </c>
      <c r="I1742">
        <f>IF(C1742="","",AVERAGE(C1727:C1742)*$N$5)</f>
        <v/>
      </c>
      <c r="J1742">
        <f>IF(C1742="","",J1741+$N$6*(C1742*$N$5-J1741))</f>
        <v/>
      </c>
      <c r="K1742">
        <f>IF(B1742="","",B1742-B1741)</f>
        <v/>
      </c>
    </row>
    <row r="1743">
      <c r="G1743">
        <f>IF(C1743="","",C1743*$N$5)</f>
        <v/>
      </c>
      <c r="H1743">
        <f>IF(C1743="","",AVERAGE(C1740:C1743)*$N$5)</f>
        <v/>
      </c>
      <c r="I1743">
        <f>IF(C1743="","",AVERAGE(C1728:C1743)*$N$5)</f>
        <v/>
      </c>
      <c r="J1743">
        <f>IF(C1743="","",J1742+$N$6*(C1743*$N$5-J1742))</f>
        <v/>
      </c>
      <c r="K1743">
        <f>IF(B1743="","",B1743-B1742)</f>
        <v/>
      </c>
    </row>
    <row r="1744">
      <c r="G1744">
        <f>IF(C1744="","",C1744*$N$5)</f>
        <v/>
      </c>
      <c r="H1744">
        <f>IF(C1744="","",AVERAGE(C1741:C1744)*$N$5)</f>
        <v/>
      </c>
      <c r="I1744">
        <f>IF(C1744="","",AVERAGE(C1729:C1744)*$N$5)</f>
        <v/>
      </c>
      <c r="J1744">
        <f>IF(C1744="","",J1743+$N$6*(C1744*$N$5-J1743))</f>
        <v/>
      </c>
      <c r="K1744">
        <f>IF(B1744="","",B1744-B1743)</f>
        <v/>
      </c>
    </row>
    <row r="1745">
      <c r="G1745">
        <f>IF(C1745="","",C1745*$N$5)</f>
        <v/>
      </c>
      <c r="H1745">
        <f>IF(C1745="","",AVERAGE(C1742:C1745)*$N$5)</f>
        <v/>
      </c>
      <c r="I1745">
        <f>IF(C1745="","",AVERAGE(C1730:C1745)*$N$5)</f>
        <v/>
      </c>
      <c r="J1745">
        <f>IF(C1745="","",J1744+$N$6*(C1745*$N$5-J1744))</f>
        <v/>
      </c>
      <c r="K1745">
        <f>IF(B1745="","",B1745-B1744)</f>
        <v/>
      </c>
    </row>
    <row r="1746">
      <c r="G1746">
        <f>IF(C1746="","",C1746*$N$5)</f>
        <v/>
      </c>
      <c r="H1746">
        <f>IF(C1746="","",AVERAGE(C1743:C1746)*$N$5)</f>
        <v/>
      </c>
      <c r="I1746">
        <f>IF(C1746="","",AVERAGE(C1731:C1746)*$N$5)</f>
        <v/>
      </c>
      <c r="J1746">
        <f>IF(C1746="","",J1745+$N$6*(C1746*$N$5-J1745))</f>
        <v/>
      </c>
      <c r="K1746">
        <f>IF(B1746="","",B1746-B1745)</f>
        <v/>
      </c>
    </row>
    <row r="1747">
      <c r="G1747">
        <f>IF(C1747="","",C1747*$N$5)</f>
        <v/>
      </c>
      <c r="H1747">
        <f>IF(C1747="","",AVERAGE(C1744:C1747)*$N$5)</f>
        <v/>
      </c>
      <c r="I1747">
        <f>IF(C1747="","",AVERAGE(C1732:C1747)*$N$5)</f>
        <v/>
      </c>
      <c r="J1747">
        <f>IF(C1747="","",J1746+$N$6*(C1747*$N$5-J1746))</f>
        <v/>
      </c>
      <c r="K1747">
        <f>IF(B1747="","",B1747-B1746)</f>
        <v/>
      </c>
    </row>
    <row r="1748">
      <c r="G1748">
        <f>IF(C1748="","",C1748*$N$5)</f>
        <v/>
      </c>
      <c r="H1748">
        <f>IF(C1748="","",AVERAGE(C1745:C1748)*$N$5)</f>
        <v/>
      </c>
      <c r="I1748">
        <f>IF(C1748="","",AVERAGE(C1733:C1748)*$N$5)</f>
        <v/>
      </c>
      <c r="J1748">
        <f>IF(C1748="","",J1747+$N$6*(C1748*$N$5-J1747))</f>
        <v/>
      </c>
      <c r="K1748">
        <f>IF(B1748="","",B1748-B1747)</f>
        <v/>
      </c>
    </row>
    <row r="1749">
      <c r="G1749">
        <f>IF(C1749="","",C1749*$N$5)</f>
        <v/>
      </c>
      <c r="H1749">
        <f>IF(C1749="","",AVERAGE(C1746:C1749)*$N$5)</f>
        <v/>
      </c>
      <c r="I1749">
        <f>IF(C1749="","",AVERAGE(C1734:C1749)*$N$5)</f>
        <v/>
      </c>
      <c r="J1749">
        <f>IF(C1749="","",J1748+$N$6*(C1749*$N$5-J1748))</f>
        <v/>
      </c>
      <c r="K1749">
        <f>IF(B1749="","",B1749-B1748)</f>
        <v/>
      </c>
    </row>
    <row r="1750">
      <c r="G1750">
        <f>IF(C1750="","",C1750*$N$5)</f>
        <v/>
      </c>
      <c r="H1750">
        <f>IF(C1750="","",AVERAGE(C1747:C1750)*$N$5)</f>
        <v/>
      </c>
      <c r="I1750">
        <f>IF(C1750="","",AVERAGE(C1735:C1750)*$N$5)</f>
        <v/>
      </c>
      <c r="J1750">
        <f>IF(C1750="","",J1749+$N$6*(C1750*$N$5-J1749))</f>
        <v/>
      </c>
      <c r="K1750">
        <f>IF(B1750="","",B1750-B1749)</f>
        <v/>
      </c>
    </row>
    <row r="1751">
      <c r="G1751">
        <f>IF(C1751="","",C1751*$N$5)</f>
        <v/>
      </c>
      <c r="H1751">
        <f>IF(C1751="","",AVERAGE(C1748:C1751)*$N$5)</f>
        <v/>
      </c>
      <c r="I1751">
        <f>IF(C1751="","",AVERAGE(C1736:C1751)*$N$5)</f>
        <v/>
      </c>
      <c r="J1751">
        <f>IF(C1751="","",J1750+$N$6*(C1751*$N$5-J1750))</f>
        <v/>
      </c>
      <c r="K1751">
        <f>IF(B1751="","",B1751-B1750)</f>
        <v/>
      </c>
    </row>
    <row r="1752">
      <c r="G1752">
        <f>IF(C1752="","",C1752*$N$5)</f>
        <v/>
      </c>
      <c r="H1752">
        <f>IF(C1752="","",AVERAGE(C1749:C1752)*$N$5)</f>
        <v/>
      </c>
      <c r="I1752">
        <f>IF(C1752="","",AVERAGE(C1737:C1752)*$N$5)</f>
        <v/>
      </c>
      <c r="J1752">
        <f>IF(C1752="","",J1751+$N$6*(C1752*$N$5-J1751))</f>
        <v/>
      </c>
      <c r="K1752">
        <f>IF(B1752="","",B1752-B1751)</f>
        <v/>
      </c>
    </row>
    <row r="1753">
      <c r="G1753">
        <f>IF(C1753="","",C1753*$N$5)</f>
        <v/>
      </c>
      <c r="H1753">
        <f>IF(C1753="","",AVERAGE(C1750:C1753)*$N$5)</f>
        <v/>
      </c>
      <c r="I1753">
        <f>IF(C1753="","",AVERAGE(C1738:C1753)*$N$5)</f>
        <v/>
      </c>
      <c r="J1753">
        <f>IF(C1753="","",J1752+$N$6*(C1753*$N$5-J1752))</f>
        <v/>
      </c>
      <c r="K1753">
        <f>IF(B1753="","",B1753-B1752)</f>
        <v/>
      </c>
    </row>
    <row r="1754">
      <c r="G1754">
        <f>IF(C1754="","",C1754*$N$5)</f>
        <v/>
      </c>
      <c r="H1754">
        <f>IF(C1754="","",AVERAGE(C1751:C1754)*$N$5)</f>
        <v/>
      </c>
      <c r="I1754">
        <f>IF(C1754="","",AVERAGE(C1739:C1754)*$N$5)</f>
        <v/>
      </c>
      <c r="J1754">
        <f>IF(C1754="","",J1753+$N$6*(C1754*$N$5-J1753))</f>
        <v/>
      </c>
      <c r="K1754">
        <f>IF(B1754="","",B1754-B1753)</f>
        <v/>
      </c>
    </row>
    <row r="1755">
      <c r="G1755">
        <f>IF(C1755="","",C1755*$N$5)</f>
        <v/>
      </c>
      <c r="H1755">
        <f>IF(C1755="","",AVERAGE(C1752:C1755)*$N$5)</f>
        <v/>
      </c>
      <c r="I1755">
        <f>IF(C1755="","",AVERAGE(C1740:C1755)*$N$5)</f>
        <v/>
      </c>
      <c r="J1755">
        <f>IF(C1755="","",J1754+$N$6*(C1755*$N$5-J1754))</f>
        <v/>
      </c>
      <c r="K1755">
        <f>IF(B1755="","",B1755-B1754)</f>
        <v/>
      </c>
    </row>
    <row r="1756">
      <c r="G1756">
        <f>IF(C1756="","",C1756*$N$5)</f>
        <v/>
      </c>
      <c r="H1756">
        <f>IF(C1756="","",AVERAGE(C1753:C1756)*$N$5)</f>
        <v/>
      </c>
      <c r="I1756">
        <f>IF(C1756="","",AVERAGE(C1741:C1756)*$N$5)</f>
        <v/>
      </c>
      <c r="J1756">
        <f>IF(C1756="","",J1755+$N$6*(C1756*$N$5-J1755))</f>
        <v/>
      </c>
      <c r="K1756">
        <f>IF(B1756="","",B1756-B1755)</f>
        <v/>
      </c>
    </row>
    <row r="1757">
      <c r="G1757">
        <f>IF(C1757="","",C1757*$N$5)</f>
        <v/>
      </c>
      <c r="H1757">
        <f>IF(C1757="","",AVERAGE(C1754:C1757)*$N$5)</f>
        <v/>
      </c>
      <c r="I1757">
        <f>IF(C1757="","",AVERAGE(C1742:C1757)*$N$5)</f>
        <v/>
      </c>
      <c r="J1757">
        <f>IF(C1757="","",J1756+$N$6*(C1757*$N$5-J1756))</f>
        <v/>
      </c>
      <c r="K1757">
        <f>IF(B1757="","",B1757-B1756)</f>
        <v/>
      </c>
    </row>
    <row r="1758">
      <c r="G1758">
        <f>IF(C1758="","",C1758*$N$5)</f>
        <v/>
      </c>
      <c r="H1758">
        <f>IF(C1758="","",AVERAGE(C1755:C1758)*$N$5)</f>
        <v/>
      </c>
      <c r="I1758">
        <f>IF(C1758="","",AVERAGE(C1743:C1758)*$N$5)</f>
        <v/>
      </c>
      <c r="J1758">
        <f>IF(C1758="","",J1757+$N$6*(C1758*$N$5-J1757))</f>
        <v/>
      </c>
      <c r="K1758">
        <f>IF(B1758="","",B1758-B1757)</f>
        <v/>
      </c>
    </row>
    <row r="1759">
      <c r="G1759">
        <f>IF(C1759="","",C1759*$N$5)</f>
        <v/>
      </c>
      <c r="H1759">
        <f>IF(C1759="","",AVERAGE(C1756:C1759)*$N$5)</f>
        <v/>
      </c>
      <c r="I1759">
        <f>IF(C1759="","",AVERAGE(C1744:C1759)*$N$5)</f>
        <v/>
      </c>
      <c r="J1759">
        <f>IF(C1759="","",J1758+$N$6*(C1759*$N$5-J1758))</f>
        <v/>
      </c>
      <c r="K1759">
        <f>IF(B1759="","",B1759-B1758)</f>
        <v/>
      </c>
    </row>
    <row r="1760">
      <c r="G1760">
        <f>IF(C1760="","",C1760*$N$5)</f>
        <v/>
      </c>
      <c r="H1760">
        <f>IF(C1760="","",AVERAGE(C1757:C1760)*$N$5)</f>
        <v/>
      </c>
      <c r="I1760">
        <f>IF(C1760="","",AVERAGE(C1745:C1760)*$N$5)</f>
        <v/>
      </c>
      <c r="J1760">
        <f>IF(C1760="","",J1759+$N$6*(C1760*$N$5-J1759))</f>
        <v/>
      </c>
      <c r="K1760">
        <f>IF(B1760="","",B1760-B1759)</f>
        <v/>
      </c>
    </row>
    <row r="1761">
      <c r="G1761">
        <f>IF(C1761="","",C1761*$N$5)</f>
        <v/>
      </c>
      <c r="H1761">
        <f>IF(C1761="","",AVERAGE(C1758:C1761)*$N$5)</f>
        <v/>
      </c>
      <c r="I1761">
        <f>IF(C1761="","",AVERAGE(C1746:C1761)*$N$5)</f>
        <v/>
      </c>
      <c r="J1761">
        <f>IF(C1761="","",J1760+$N$6*(C1761*$N$5-J1760))</f>
        <v/>
      </c>
      <c r="K1761">
        <f>IF(B1761="","",B1761-B1760)</f>
        <v/>
      </c>
    </row>
    <row r="1762">
      <c r="G1762">
        <f>IF(C1762="","",C1762*$N$5)</f>
        <v/>
      </c>
      <c r="H1762">
        <f>IF(C1762="","",AVERAGE(C1759:C1762)*$N$5)</f>
        <v/>
      </c>
      <c r="I1762">
        <f>IF(C1762="","",AVERAGE(C1747:C1762)*$N$5)</f>
        <v/>
      </c>
      <c r="J1762">
        <f>IF(C1762="","",J1761+$N$6*(C1762*$N$5-J1761))</f>
        <v/>
      </c>
      <c r="K1762">
        <f>IF(B1762="","",B1762-B1761)</f>
        <v/>
      </c>
    </row>
    <row r="1763">
      <c r="G1763">
        <f>IF(C1763="","",C1763*$N$5)</f>
        <v/>
      </c>
      <c r="H1763">
        <f>IF(C1763="","",AVERAGE(C1760:C1763)*$N$5)</f>
        <v/>
      </c>
      <c r="I1763">
        <f>IF(C1763="","",AVERAGE(C1748:C1763)*$N$5)</f>
        <v/>
      </c>
      <c r="J1763">
        <f>IF(C1763="","",J1762+$N$6*(C1763*$N$5-J1762))</f>
        <v/>
      </c>
      <c r="K1763">
        <f>IF(B1763="","",B1763-B1762)</f>
        <v/>
      </c>
    </row>
    <row r="1764">
      <c r="G1764">
        <f>IF(C1764="","",C1764*$N$5)</f>
        <v/>
      </c>
      <c r="H1764">
        <f>IF(C1764="","",AVERAGE(C1761:C1764)*$N$5)</f>
        <v/>
      </c>
      <c r="I1764">
        <f>IF(C1764="","",AVERAGE(C1749:C1764)*$N$5)</f>
        <v/>
      </c>
      <c r="J1764">
        <f>IF(C1764="","",J1763+$N$6*(C1764*$N$5-J1763))</f>
        <v/>
      </c>
      <c r="K1764">
        <f>IF(B1764="","",B1764-B1763)</f>
        <v/>
      </c>
    </row>
    <row r="1765">
      <c r="G1765">
        <f>IF(C1765="","",C1765*$N$5)</f>
        <v/>
      </c>
      <c r="H1765">
        <f>IF(C1765="","",AVERAGE(C1762:C1765)*$N$5)</f>
        <v/>
      </c>
      <c r="I1765">
        <f>IF(C1765="","",AVERAGE(C1750:C1765)*$N$5)</f>
        <v/>
      </c>
      <c r="J1765">
        <f>IF(C1765="","",J1764+$N$6*(C1765*$N$5-J1764))</f>
        <v/>
      </c>
      <c r="K1765">
        <f>IF(B1765="","",B1765-B1764)</f>
        <v/>
      </c>
    </row>
    <row r="1766">
      <c r="G1766">
        <f>IF(C1766="","",C1766*$N$5)</f>
        <v/>
      </c>
      <c r="H1766">
        <f>IF(C1766="","",AVERAGE(C1763:C1766)*$N$5)</f>
        <v/>
      </c>
      <c r="I1766">
        <f>IF(C1766="","",AVERAGE(C1751:C1766)*$N$5)</f>
        <v/>
      </c>
      <c r="J1766">
        <f>IF(C1766="","",J1765+$N$6*(C1766*$N$5-J1765))</f>
        <v/>
      </c>
      <c r="K1766">
        <f>IF(B1766="","",B1766-B1765)</f>
        <v/>
      </c>
    </row>
    <row r="1767">
      <c r="G1767">
        <f>IF(C1767="","",C1767*$N$5)</f>
        <v/>
      </c>
      <c r="H1767">
        <f>IF(C1767="","",AVERAGE(C1764:C1767)*$N$5)</f>
        <v/>
      </c>
      <c r="I1767">
        <f>IF(C1767="","",AVERAGE(C1752:C1767)*$N$5)</f>
        <v/>
      </c>
      <c r="J1767">
        <f>IF(C1767="","",J1766+$N$6*(C1767*$N$5-J1766))</f>
        <v/>
      </c>
      <c r="K1767">
        <f>IF(B1767="","",B1767-B1766)</f>
        <v/>
      </c>
    </row>
    <row r="1768">
      <c r="G1768">
        <f>IF(C1768="","",C1768*$N$5)</f>
        <v/>
      </c>
      <c r="H1768">
        <f>IF(C1768="","",AVERAGE(C1765:C1768)*$N$5)</f>
        <v/>
      </c>
      <c r="I1768">
        <f>IF(C1768="","",AVERAGE(C1753:C1768)*$N$5)</f>
        <v/>
      </c>
      <c r="J1768">
        <f>IF(C1768="","",J1767+$N$6*(C1768*$N$5-J1767))</f>
        <v/>
      </c>
      <c r="K1768">
        <f>IF(B1768="","",B1768-B1767)</f>
        <v/>
      </c>
    </row>
    <row r="1769">
      <c r="G1769">
        <f>IF(C1769="","",C1769*$N$5)</f>
        <v/>
      </c>
      <c r="H1769">
        <f>IF(C1769="","",AVERAGE(C1766:C1769)*$N$5)</f>
        <v/>
      </c>
      <c r="I1769">
        <f>IF(C1769="","",AVERAGE(C1754:C1769)*$N$5)</f>
        <v/>
      </c>
      <c r="J1769">
        <f>IF(C1769="","",J1768+$N$6*(C1769*$N$5-J1768))</f>
        <v/>
      </c>
      <c r="K1769">
        <f>IF(B1769="","",B1769-B1768)</f>
        <v/>
      </c>
    </row>
    <row r="1770">
      <c r="G1770">
        <f>IF(C1770="","",C1770*$N$5)</f>
        <v/>
      </c>
      <c r="H1770">
        <f>IF(C1770="","",AVERAGE(C1767:C1770)*$N$5)</f>
        <v/>
      </c>
      <c r="I1770">
        <f>IF(C1770="","",AVERAGE(C1755:C1770)*$N$5)</f>
        <v/>
      </c>
      <c r="J1770">
        <f>IF(C1770="","",J1769+$N$6*(C1770*$N$5-J1769))</f>
        <v/>
      </c>
      <c r="K1770">
        <f>IF(B1770="","",B1770-B1769)</f>
        <v/>
      </c>
    </row>
    <row r="1771">
      <c r="G1771">
        <f>IF(C1771="","",C1771*$N$5)</f>
        <v/>
      </c>
      <c r="H1771">
        <f>IF(C1771="","",AVERAGE(C1768:C1771)*$N$5)</f>
        <v/>
      </c>
      <c r="I1771">
        <f>IF(C1771="","",AVERAGE(C1756:C1771)*$N$5)</f>
        <v/>
      </c>
      <c r="J1771">
        <f>IF(C1771="","",J1770+$N$6*(C1771*$N$5-J1770))</f>
        <v/>
      </c>
      <c r="K1771">
        <f>IF(B1771="","",B1771-B1770)</f>
        <v/>
      </c>
    </row>
    <row r="1772">
      <c r="G1772">
        <f>IF(C1772="","",C1772*$N$5)</f>
        <v/>
      </c>
      <c r="H1772">
        <f>IF(C1772="","",AVERAGE(C1769:C1772)*$N$5)</f>
        <v/>
      </c>
      <c r="I1772">
        <f>IF(C1772="","",AVERAGE(C1757:C1772)*$N$5)</f>
        <v/>
      </c>
      <c r="J1772">
        <f>IF(C1772="","",J1771+$N$6*(C1772*$N$5-J1771))</f>
        <v/>
      </c>
      <c r="K1772">
        <f>IF(B1772="","",B1772-B1771)</f>
        <v/>
      </c>
    </row>
    <row r="1773">
      <c r="G1773">
        <f>IF(C1773="","",C1773*$N$5)</f>
        <v/>
      </c>
      <c r="H1773">
        <f>IF(C1773="","",AVERAGE(C1770:C1773)*$N$5)</f>
        <v/>
      </c>
      <c r="I1773">
        <f>IF(C1773="","",AVERAGE(C1758:C1773)*$N$5)</f>
        <v/>
      </c>
      <c r="J1773">
        <f>IF(C1773="","",J1772+$N$6*(C1773*$N$5-J1772))</f>
        <v/>
      </c>
      <c r="K1773">
        <f>IF(B1773="","",B1773-B1772)</f>
        <v/>
      </c>
    </row>
    <row r="1774">
      <c r="G1774">
        <f>IF(C1774="","",C1774*$N$5)</f>
        <v/>
      </c>
      <c r="H1774">
        <f>IF(C1774="","",AVERAGE(C1771:C1774)*$N$5)</f>
        <v/>
      </c>
      <c r="I1774">
        <f>IF(C1774="","",AVERAGE(C1759:C1774)*$N$5)</f>
        <v/>
      </c>
      <c r="J1774">
        <f>IF(C1774="","",J1773+$N$6*(C1774*$N$5-J1773))</f>
        <v/>
      </c>
      <c r="K1774">
        <f>IF(B1774="","",B1774-B1773)</f>
        <v/>
      </c>
    </row>
    <row r="1775">
      <c r="G1775">
        <f>IF(C1775="","",C1775*$N$5)</f>
        <v/>
      </c>
      <c r="H1775">
        <f>IF(C1775="","",AVERAGE(C1772:C1775)*$N$5)</f>
        <v/>
      </c>
      <c r="I1775">
        <f>IF(C1775="","",AVERAGE(C1760:C1775)*$N$5)</f>
        <v/>
      </c>
      <c r="J1775">
        <f>IF(C1775="","",J1774+$N$6*(C1775*$N$5-J1774))</f>
        <v/>
      </c>
      <c r="K1775">
        <f>IF(B1775="","",B1775-B1774)</f>
        <v/>
      </c>
    </row>
    <row r="1776">
      <c r="G1776">
        <f>IF(C1776="","",C1776*$N$5)</f>
        <v/>
      </c>
      <c r="H1776">
        <f>IF(C1776="","",AVERAGE(C1773:C1776)*$N$5)</f>
        <v/>
      </c>
      <c r="I1776">
        <f>IF(C1776="","",AVERAGE(C1761:C1776)*$N$5)</f>
        <v/>
      </c>
      <c r="J1776">
        <f>IF(C1776="","",J1775+$N$6*(C1776*$N$5-J1775))</f>
        <v/>
      </c>
      <c r="K1776">
        <f>IF(B1776="","",B1776-B1775)</f>
        <v/>
      </c>
    </row>
    <row r="1777">
      <c r="G1777">
        <f>IF(C1777="","",C1777*$N$5)</f>
        <v/>
      </c>
      <c r="H1777">
        <f>IF(C1777="","",AVERAGE(C1774:C1777)*$N$5)</f>
        <v/>
      </c>
      <c r="I1777">
        <f>IF(C1777="","",AVERAGE(C1762:C1777)*$N$5)</f>
        <v/>
      </c>
      <c r="J1777">
        <f>IF(C1777="","",J1776+$N$6*(C1777*$N$5-J1776))</f>
        <v/>
      </c>
      <c r="K1777">
        <f>IF(B1777="","",B1777-B1776)</f>
        <v/>
      </c>
    </row>
    <row r="1778">
      <c r="G1778">
        <f>IF(C1778="","",C1778*$N$5)</f>
        <v/>
      </c>
      <c r="H1778">
        <f>IF(C1778="","",AVERAGE(C1775:C1778)*$N$5)</f>
        <v/>
      </c>
      <c r="I1778">
        <f>IF(C1778="","",AVERAGE(C1763:C1778)*$N$5)</f>
        <v/>
      </c>
      <c r="J1778">
        <f>IF(C1778="","",J1777+$N$6*(C1778*$N$5-J1777))</f>
        <v/>
      </c>
      <c r="K1778">
        <f>IF(B1778="","",B1778-B1777)</f>
        <v/>
      </c>
    </row>
    <row r="1779">
      <c r="G1779">
        <f>IF(C1779="","",C1779*$N$5)</f>
        <v/>
      </c>
      <c r="H1779">
        <f>IF(C1779="","",AVERAGE(C1776:C1779)*$N$5)</f>
        <v/>
      </c>
      <c r="I1779">
        <f>IF(C1779="","",AVERAGE(C1764:C1779)*$N$5)</f>
        <v/>
      </c>
      <c r="J1779">
        <f>IF(C1779="","",J1778+$N$6*(C1779*$N$5-J1778))</f>
        <v/>
      </c>
      <c r="K1779">
        <f>IF(B1779="","",B1779-B1778)</f>
        <v/>
      </c>
    </row>
    <row r="1780">
      <c r="G1780">
        <f>IF(C1780="","",C1780*$N$5)</f>
        <v/>
      </c>
      <c r="H1780">
        <f>IF(C1780="","",AVERAGE(C1777:C1780)*$N$5)</f>
        <v/>
      </c>
      <c r="I1780">
        <f>IF(C1780="","",AVERAGE(C1765:C1780)*$N$5)</f>
        <v/>
      </c>
      <c r="J1780">
        <f>IF(C1780="","",J1779+$N$6*(C1780*$N$5-J1779))</f>
        <v/>
      </c>
      <c r="K1780">
        <f>IF(B1780="","",B1780-B1779)</f>
        <v/>
      </c>
    </row>
    <row r="1781">
      <c r="G1781">
        <f>IF(C1781="","",C1781*$N$5)</f>
        <v/>
      </c>
      <c r="H1781">
        <f>IF(C1781="","",AVERAGE(C1778:C1781)*$N$5)</f>
        <v/>
      </c>
      <c r="I1781">
        <f>IF(C1781="","",AVERAGE(C1766:C1781)*$N$5)</f>
        <v/>
      </c>
      <c r="J1781">
        <f>IF(C1781="","",J1780+$N$6*(C1781*$N$5-J1780))</f>
        <v/>
      </c>
      <c r="K1781">
        <f>IF(B1781="","",B1781-B1780)</f>
        <v/>
      </c>
    </row>
    <row r="1782">
      <c r="G1782">
        <f>IF(C1782="","",C1782*$N$5)</f>
        <v/>
      </c>
      <c r="H1782">
        <f>IF(C1782="","",AVERAGE(C1779:C1782)*$N$5)</f>
        <v/>
      </c>
      <c r="I1782">
        <f>IF(C1782="","",AVERAGE(C1767:C1782)*$N$5)</f>
        <v/>
      </c>
      <c r="J1782">
        <f>IF(C1782="","",J1781+$N$6*(C1782*$N$5-J1781))</f>
        <v/>
      </c>
      <c r="K1782">
        <f>IF(B1782="","",B1782-B1781)</f>
        <v/>
      </c>
    </row>
    <row r="1783">
      <c r="G1783">
        <f>IF(C1783="","",C1783*$N$5)</f>
        <v/>
      </c>
      <c r="H1783">
        <f>IF(C1783="","",AVERAGE(C1780:C1783)*$N$5)</f>
        <v/>
      </c>
      <c r="I1783">
        <f>IF(C1783="","",AVERAGE(C1768:C1783)*$N$5)</f>
        <v/>
      </c>
      <c r="J1783">
        <f>IF(C1783="","",J1782+$N$6*(C1783*$N$5-J1782))</f>
        <v/>
      </c>
      <c r="K1783">
        <f>IF(B1783="","",B1783-B1782)</f>
        <v/>
      </c>
    </row>
    <row r="1784">
      <c r="G1784">
        <f>IF(C1784="","",C1784*$N$5)</f>
        <v/>
      </c>
      <c r="H1784">
        <f>IF(C1784="","",AVERAGE(C1781:C1784)*$N$5)</f>
        <v/>
      </c>
      <c r="I1784">
        <f>IF(C1784="","",AVERAGE(C1769:C1784)*$N$5)</f>
        <v/>
      </c>
      <c r="J1784">
        <f>IF(C1784="","",J1783+$N$6*(C1784*$N$5-J1783))</f>
        <v/>
      </c>
      <c r="K1784">
        <f>IF(B1784="","",B1784-B1783)</f>
        <v/>
      </c>
    </row>
    <row r="1785">
      <c r="G1785">
        <f>IF(C1785="","",C1785*$N$5)</f>
        <v/>
      </c>
      <c r="H1785">
        <f>IF(C1785="","",AVERAGE(C1782:C1785)*$N$5)</f>
        <v/>
      </c>
      <c r="I1785">
        <f>IF(C1785="","",AVERAGE(C1770:C1785)*$N$5)</f>
        <v/>
      </c>
      <c r="J1785">
        <f>IF(C1785="","",J1784+$N$6*(C1785*$N$5-J1784))</f>
        <v/>
      </c>
      <c r="K1785">
        <f>IF(B1785="","",B1785-B1784)</f>
        <v/>
      </c>
    </row>
    <row r="1786">
      <c r="G1786">
        <f>IF(C1786="","",C1786*$N$5)</f>
        <v/>
      </c>
      <c r="H1786">
        <f>IF(C1786="","",AVERAGE(C1783:C1786)*$N$5)</f>
        <v/>
      </c>
      <c r="I1786">
        <f>IF(C1786="","",AVERAGE(C1771:C1786)*$N$5)</f>
        <v/>
      </c>
      <c r="J1786">
        <f>IF(C1786="","",J1785+$N$6*(C1786*$N$5-J1785))</f>
        <v/>
      </c>
      <c r="K1786">
        <f>IF(B1786="","",B1786-B1785)</f>
        <v/>
      </c>
    </row>
    <row r="1787">
      <c r="G1787">
        <f>IF(C1787="","",C1787*$N$5)</f>
        <v/>
      </c>
      <c r="H1787">
        <f>IF(C1787="","",AVERAGE(C1784:C1787)*$N$5)</f>
        <v/>
      </c>
      <c r="I1787">
        <f>IF(C1787="","",AVERAGE(C1772:C1787)*$N$5)</f>
        <v/>
      </c>
      <c r="J1787">
        <f>IF(C1787="","",J1786+$N$6*(C1787*$N$5-J1786))</f>
        <v/>
      </c>
      <c r="K1787">
        <f>IF(B1787="","",B1787-B1786)</f>
        <v/>
      </c>
    </row>
    <row r="1788">
      <c r="G1788">
        <f>IF(C1788="","",C1788*$N$5)</f>
        <v/>
      </c>
      <c r="H1788">
        <f>IF(C1788="","",AVERAGE(C1785:C1788)*$N$5)</f>
        <v/>
      </c>
      <c r="I1788">
        <f>IF(C1788="","",AVERAGE(C1773:C1788)*$N$5)</f>
        <v/>
      </c>
      <c r="J1788">
        <f>IF(C1788="","",J1787+$N$6*(C1788*$N$5-J1787))</f>
        <v/>
      </c>
      <c r="K1788">
        <f>IF(B1788="","",B1788-B1787)</f>
        <v/>
      </c>
    </row>
    <row r="1789">
      <c r="G1789">
        <f>IF(C1789="","",C1789*$N$5)</f>
        <v/>
      </c>
      <c r="H1789">
        <f>IF(C1789="","",AVERAGE(C1786:C1789)*$N$5)</f>
        <v/>
      </c>
      <c r="I1789">
        <f>IF(C1789="","",AVERAGE(C1774:C1789)*$N$5)</f>
        <v/>
      </c>
      <c r="J1789">
        <f>IF(C1789="","",J1788+$N$6*(C1789*$N$5-J1788))</f>
        <v/>
      </c>
      <c r="K1789">
        <f>IF(B1789="","",B1789-B1788)</f>
        <v/>
      </c>
    </row>
    <row r="1790">
      <c r="G1790">
        <f>IF(C1790="","",C1790*$N$5)</f>
        <v/>
      </c>
      <c r="H1790">
        <f>IF(C1790="","",AVERAGE(C1787:C1790)*$N$5)</f>
        <v/>
      </c>
      <c r="I1790">
        <f>IF(C1790="","",AVERAGE(C1775:C1790)*$N$5)</f>
        <v/>
      </c>
      <c r="J1790">
        <f>IF(C1790="","",J1789+$N$6*(C1790*$N$5-J1789))</f>
        <v/>
      </c>
      <c r="K1790">
        <f>IF(B1790="","",B1790-B1789)</f>
        <v/>
      </c>
    </row>
    <row r="1791">
      <c r="G1791">
        <f>IF(C1791="","",C1791*$N$5)</f>
        <v/>
      </c>
      <c r="H1791">
        <f>IF(C1791="","",AVERAGE(C1788:C1791)*$N$5)</f>
        <v/>
      </c>
      <c r="I1791">
        <f>IF(C1791="","",AVERAGE(C1776:C1791)*$N$5)</f>
        <v/>
      </c>
      <c r="J1791">
        <f>IF(C1791="","",J1790+$N$6*(C1791*$N$5-J1790))</f>
        <v/>
      </c>
      <c r="K1791">
        <f>IF(B1791="","",B1791-B1790)</f>
        <v/>
      </c>
    </row>
    <row r="1792">
      <c r="G1792">
        <f>IF(C1792="","",C1792*$N$5)</f>
        <v/>
      </c>
      <c r="H1792">
        <f>IF(C1792="","",AVERAGE(C1789:C1792)*$N$5)</f>
        <v/>
      </c>
      <c r="I1792">
        <f>IF(C1792="","",AVERAGE(C1777:C1792)*$N$5)</f>
        <v/>
      </c>
      <c r="J1792">
        <f>IF(C1792="","",J1791+$N$6*(C1792*$N$5-J1791))</f>
        <v/>
      </c>
      <c r="K1792">
        <f>IF(B1792="","",B1792-B1791)</f>
        <v/>
      </c>
    </row>
    <row r="1793">
      <c r="G1793">
        <f>IF(C1793="","",C1793*$N$5)</f>
        <v/>
      </c>
      <c r="H1793">
        <f>IF(C1793="","",AVERAGE(C1790:C1793)*$N$5)</f>
        <v/>
      </c>
      <c r="I1793">
        <f>IF(C1793="","",AVERAGE(C1778:C1793)*$N$5)</f>
        <v/>
      </c>
      <c r="J1793">
        <f>IF(C1793="","",J1792+$N$6*(C1793*$N$5-J1792))</f>
        <v/>
      </c>
      <c r="K1793">
        <f>IF(B1793="","",B1793-B1792)</f>
        <v/>
      </c>
    </row>
    <row r="1794">
      <c r="G1794">
        <f>IF(C1794="","",C1794*$N$5)</f>
        <v/>
      </c>
      <c r="H1794">
        <f>IF(C1794="","",AVERAGE(C1791:C1794)*$N$5)</f>
        <v/>
      </c>
      <c r="I1794">
        <f>IF(C1794="","",AVERAGE(C1779:C1794)*$N$5)</f>
        <v/>
      </c>
      <c r="J1794">
        <f>IF(C1794="","",J1793+$N$6*(C1794*$N$5-J1793))</f>
        <v/>
      </c>
      <c r="K1794">
        <f>IF(B1794="","",B1794-B1793)</f>
        <v/>
      </c>
    </row>
    <row r="1795">
      <c r="G1795">
        <f>IF(C1795="","",C1795*$N$5)</f>
        <v/>
      </c>
      <c r="H1795">
        <f>IF(C1795="","",AVERAGE(C1792:C1795)*$N$5)</f>
        <v/>
      </c>
      <c r="I1795">
        <f>IF(C1795="","",AVERAGE(C1780:C1795)*$N$5)</f>
        <v/>
      </c>
      <c r="J1795">
        <f>IF(C1795="","",J1794+$N$6*(C1795*$N$5-J1794))</f>
        <v/>
      </c>
      <c r="K1795">
        <f>IF(B1795="","",B1795-B1794)</f>
        <v/>
      </c>
    </row>
    <row r="1796">
      <c r="G1796">
        <f>IF(C1796="","",C1796*$N$5)</f>
        <v/>
      </c>
      <c r="H1796">
        <f>IF(C1796="","",AVERAGE(C1793:C1796)*$N$5)</f>
        <v/>
      </c>
      <c r="I1796">
        <f>IF(C1796="","",AVERAGE(C1781:C1796)*$N$5)</f>
        <v/>
      </c>
      <c r="J1796">
        <f>IF(C1796="","",J1795+$N$6*(C1796*$N$5-J1795))</f>
        <v/>
      </c>
      <c r="K1796">
        <f>IF(B1796="","",B1796-B1795)</f>
        <v/>
      </c>
    </row>
    <row r="1797">
      <c r="G1797">
        <f>IF(C1797="","",C1797*$N$5)</f>
        <v/>
      </c>
      <c r="H1797">
        <f>IF(C1797="","",AVERAGE(C1794:C1797)*$N$5)</f>
        <v/>
      </c>
      <c r="I1797">
        <f>IF(C1797="","",AVERAGE(C1782:C1797)*$N$5)</f>
        <v/>
      </c>
      <c r="J1797">
        <f>IF(C1797="","",J1796+$N$6*(C1797*$N$5-J1796))</f>
        <v/>
      </c>
      <c r="K1797">
        <f>IF(B1797="","",B1797-B1796)</f>
        <v/>
      </c>
    </row>
    <row r="1798">
      <c r="G1798">
        <f>IF(C1798="","",C1798*$N$5)</f>
        <v/>
      </c>
      <c r="H1798">
        <f>IF(C1798="","",AVERAGE(C1795:C1798)*$N$5)</f>
        <v/>
      </c>
      <c r="I1798">
        <f>IF(C1798="","",AVERAGE(C1783:C1798)*$N$5)</f>
        <v/>
      </c>
      <c r="J1798">
        <f>IF(C1798="","",J1797+$N$6*(C1798*$N$5-J1797))</f>
        <v/>
      </c>
      <c r="K1798">
        <f>IF(B1798="","",B1798-B1797)</f>
        <v/>
      </c>
    </row>
    <row r="1799">
      <c r="G1799">
        <f>IF(C1799="","",C1799*$N$5)</f>
        <v/>
      </c>
      <c r="H1799">
        <f>IF(C1799="","",AVERAGE(C1796:C1799)*$N$5)</f>
        <v/>
      </c>
      <c r="I1799">
        <f>IF(C1799="","",AVERAGE(C1784:C1799)*$N$5)</f>
        <v/>
      </c>
      <c r="J1799">
        <f>IF(C1799="","",J1798+$N$6*(C1799*$N$5-J1798))</f>
        <v/>
      </c>
      <c r="K1799">
        <f>IF(B1799="","",B1799-B1798)</f>
        <v/>
      </c>
    </row>
    <row r="1800">
      <c r="G1800">
        <f>IF(C1800="","",C1800*$N$5)</f>
        <v/>
      </c>
      <c r="H1800">
        <f>IF(C1800="","",AVERAGE(C1797:C1800)*$N$5)</f>
        <v/>
      </c>
      <c r="I1800">
        <f>IF(C1800="","",AVERAGE(C1785:C1800)*$N$5)</f>
        <v/>
      </c>
      <c r="J1800">
        <f>IF(C1800="","",J1799+$N$6*(C1800*$N$5-J1799))</f>
        <v/>
      </c>
      <c r="K1800">
        <f>IF(B1800="","",B1800-B1799)</f>
        <v/>
      </c>
    </row>
    <row r="1801">
      <c r="G1801">
        <f>IF(C1801="","",C1801*$N$5)</f>
        <v/>
      </c>
      <c r="H1801">
        <f>IF(C1801="","",AVERAGE(C1798:C1801)*$N$5)</f>
        <v/>
      </c>
      <c r="I1801">
        <f>IF(C1801="","",AVERAGE(C1786:C1801)*$N$5)</f>
        <v/>
      </c>
      <c r="J1801">
        <f>IF(C1801="","",J1800+$N$6*(C1801*$N$5-J1800))</f>
        <v/>
      </c>
      <c r="K1801">
        <f>IF(B1801="","",B1801-B1800)</f>
        <v/>
      </c>
    </row>
    <row r="1802">
      <c r="G1802">
        <f>IF(C1802="","",C1802*$N$5)</f>
        <v/>
      </c>
      <c r="H1802">
        <f>IF(C1802="","",AVERAGE(C1799:C1802)*$N$5)</f>
        <v/>
      </c>
      <c r="I1802">
        <f>IF(C1802="","",AVERAGE(C1787:C1802)*$N$5)</f>
        <v/>
      </c>
      <c r="J1802">
        <f>IF(C1802="","",J1801+$N$6*(C1802*$N$5-J1801))</f>
        <v/>
      </c>
      <c r="K1802">
        <f>IF(B1802="","",B1802-B1801)</f>
        <v/>
      </c>
    </row>
    <row r="1803">
      <c r="G1803">
        <f>IF(C1803="","",C1803*$N$5)</f>
        <v/>
      </c>
      <c r="H1803">
        <f>IF(C1803="","",AVERAGE(C1800:C1803)*$N$5)</f>
        <v/>
      </c>
      <c r="I1803">
        <f>IF(C1803="","",AVERAGE(C1788:C1803)*$N$5)</f>
        <v/>
      </c>
      <c r="J1803">
        <f>IF(C1803="","",J1802+$N$6*(C1803*$N$5-J1802))</f>
        <v/>
      </c>
      <c r="K1803">
        <f>IF(B1803="","",B1803-B1802)</f>
        <v/>
      </c>
    </row>
    <row r="1804">
      <c r="G1804">
        <f>IF(C1804="","",C1804*$N$5)</f>
        <v/>
      </c>
      <c r="H1804">
        <f>IF(C1804="","",AVERAGE(C1801:C1804)*$N$5)</f>
        <v/>
      </c>
      <c r="I1804">
        <f>IF(C1804="","",AVERAGE(C1789:C1804)*$N$5)</f>
        <v/>
      </c>
      <c r="J1804">
        <f>IF(C1804="","",J1803+$N$6*(C1804*$N$5-J1803))</f>
        <v/>
      </c>
      <c r="K1804">
        <f>IF(B1804="","",B1804-B1803)</f>
        <v/>
      </c>
    </row>
    <row r="1805">
      <c r="G1805">
        <f>IF(C1805="","",C1805*$N$5)</f>
        <v/>
      </c>
      <c r="H1805">
        <f>IF(C1805="","",AVERAGE(C1802:C1805)*$N$5)</f>
        <v/>
      </c>
      <c r="I1805">
        <f>IF(C1805="","",AVERAGE(C1790:C1805)*$N$5)</f>
        <v/>
      </c>
      <c r="J1805">
        <f>IF(C1805="","",J1804+$N$6*(C1805*$N$5-J1804))</f>
        <v/>
      </c>
      <c r="K1805">
        <f>IF(B1805="","",B1805-B1804)</f>
        <v/>
      </c>
    </row>
    <row r="1806">
      <c r="G1806">
        <f>IF(C1806="","",C1806*$N$5)</f>
        <v/>
      </c>
      <c r="H1806">
        <f>IF(C1806="","",AVERAGE(C1803:C1806)*$N$5)</f>
        <v/>
      </c>
      <c r="I1806">
        <f>IF(C1806="","",AVERAGE(C1791:C1806)*$N$5)</f>
        <v/>
      </c>
      <c r="J1806">
        <f>IF(C1806="","",J1805+$N$6*(C1806*$N$5-J1805))</f>
        <v/>
      </c>
      <c r="K1806">
        <f>IF(B1806="","",B1806-B1805)</f>
        <v/>
      </c>
    </row>
    <row r="1807">
      <c r="G1807">
        <f>IF(C1807="","",C1807*$N$5)</f>
        <v/>
      </c>
      <c r="H1807">
        <f>IF(C1807="","",AVERAGE(C1804:C1807)*$N$5)</f>
        <v/>
      </c>
      <c r="I1807">
        <f>IF(C1807="","",AVERAGE(C1792:C1807)*$N$5)</f>
        <v/>
      </c>
      <c r="J1807">
        <f>IF(C1807="","",J1806+$N$6*(C1807*$N$5-J1806))</f>
        <v/>
      </c>
      <c r="K1807">
        <f>IF(B1807="","",B1807-B1806)</f>
        <v/>
      </c>
    </row>
    <row r="1808">
      <c r="G1808">
        <f>IF(C1808="","",C1808*$N$5)</f>
        <v/>
      </c>
      <c r="H1808">
        <f>IF(C1808="","",AVERAGE(C1805:C1808)*$N$5)</f>
        <v/>
      </c>
      <c r="I1808">
        <f>IF(C1808="","",AVERAGE(C1793:C1808)*$N$5)</f>
        <v/>
      </c>
      <c r="J1808">
        <f>IF(C1808="","",J1807+$N$6*(C1808*$N$5-J1807))</f>
        <v/>
      </c>
      <c r="K1808">
        <f>IF(B1808="","",B1808-B1807)</f>
        <v/>
      </c>
    </row>
    <row r="1809">
      <c r="G1809">
        <f>IF(C1809="","",C1809*$N$5)</f>
        <v/>
      </c>
      <c r="H1809">
        <f>IF(C1809="","",AVERAGE(C1806:C1809)*$N$5)</f>
        <v/>
      </c>
      <c r="I1809">
        <f>IF(C1809="","",AVERAGE(C1794:C1809)*$N$5)</f>
        <v/>
      </c>
      <c r="J1809">
        <f>IF(C1809="","",J1808+$N$6*(C1809*$N$5-J1808))</f>
        <v/>
      </c>
      <c r="K1809">
        <f>IF(B1809="","",B1809-B1808)</f>
        <v/>
      </c>
    </row>
    <row r="1810">
      <c r="G1810">
        <f>IF(C1810="","",C1810*$N$5)</f>
        <v/>
      </c>
      <c r="H1810">
        <f>IF(C1810="","",AVERAGE(C1807:C1810)*$N$5)</f>
        <v/>
      </c>
      <c r="I1810">
        <f>IF(C1810="","",AVERAGE(C1795:C1810)*$N$5)</f>
        <v/>
      </c>
      <c r="J1810">
        <f>IF(C1810="","",J1809+$N$6*(C1810*$N$5-J1809))</f>
        <v/>
      </c>
      <c r="K1810">
        <f>IF(B1810="","",B1810-B1809)</f>
        <v/>
      </c>
    </row>
    <row r="1811">
      <c r="G1811">
        <f>IF(C1811="","",C1811*$N$5)</f>
        <v/>
      </c>
      <c r="H1811">
        <f>IF(C1811="","",AVERAGE(C1808:C1811)*$N$5)</f>
        <v/>
      </c>
      <c r="I1811">
        <f>IF(C1811="","",AVERAGE(C1796:C1811)*$N$5)</f>
        <v/>
      </c>
      <c r="J1811">
        <f>IF(C1811="","",J1810+$N$6*(C1811*$N$5-J1810))</f>
        <v/>
      </c>
      <c r="K1811">
        <f>IF(B1811="","",B1811-B1810)</f>
        <v/>
      </c>
    </row>
    <row r="1812">
      <c r="G1812">
        <f>IF(C1812="","",C1812*$N$5)</f>
        <v/>
      </c>
      <c r="H1812">
        <f>IF(C1812="","",AVERAGE(C1809:C1812)*$N$5)</f>
        <v/>
      </c>
      <c r="I1812">
        <f>IF(C1812="","",AVERAGE(C1797:C1812)*$N$5)</f>
        <v/>
      </c>
      <c r="J1812">
        <f>IF(C1812="","",J1811+$N$6*(C1812*$N$5-J1811))</f>
        <v/>
      </c>
      <c r="K1812">
        <f>IF(B1812="","",B1812-B1811)</f>
        <v/>
      </c>
    </row>
    <row r="1813">
      <c r="G1813">
        <f>IF(C1813="","",C1813*$N$5)</f>
        <v/>
      </c>
      <c r="H1813">
        <f>IF(C1813="","",AVERAGE(C1810:C1813)*$N$5)</f>
        <v/>
      </c>
      <c r="I1813">
        <f>IF(C1813="","",AVERAGE(C1798:C1813)*$N$5)</f>
        <v/>
      </c>
      <c r="J1813">
        <f>IF(C1813="","",J1812+$N$6*(C1813*$N$5-J1812))</f>
        <v/>
      </c>
      <c r="K1813">
        <f>IF(B1813="","",B1813-B1812)</f>
        <v/>
      </c>
    </row>
    <row r="1814">
      <c r="G1814">
        <f>IF(C1814="","",C1814*$N$5)</f>
        <v/>
      </c>
      <c r="H1814">
        <f>IF(C1814="","",AVERAGE(C1811:C1814)*$N$5)</f>
        <v/>
      </c>
      <c r="I1814">
        <f>IF(C1814="","",AVERAGE(C1799:C1814)*$N$5)</f>
        <v/>
      </c>
      <c r="J1814">
        <f>IF(C1814="","",J1813+$N$6*(C1814*$N$5-J1813))</f>
        <v/>
      </c>
      <c r="K1814">
        <f>IF(B1814="","",B1814-B1813)</f>
        <v/>
      </c>
    </row>
    <row r="1815">
      <c r="G1815">
        <f>IF(C1815="","",C1815*$N$5)</f>
        <v/>
      </c>
      <c r="H1815">
        <f>IF(C1815="","",AVERAGE(C1812:C1815)*$N$5)</f>
        <v/>
      </c>
      <c r="I1815">
        <f>IF(C1815="","",AVERAGE(C1800:C1815)*$N$5)</f>
        <v/>
      </c>
      <c r="J1815">
        <f>IF(C1815="","",J1814+$N$6*(C1815*$N$5-J1814))</f>
        <v/>
      </c>
      <c r="K1815">
        <f>IF(B1815="","",B1815-B1814)</f>
        <v/>
      </c>
    </row>
    <row r="1816">
      <c r="G1816">
        <f>IF(C1816="","",C1816*$N$5)</f>
        <v/>
      </c>
      <c r="H1816">
        <f>IF(C1816="","",AVERAGE(C1813:C1816)*$N$5)</f>
        <v/>
      </c>
      <c r="I1816">
        <f>IF(C1816="","",AVERAGE(C1801:C1816)*$N$5)</f>
        <v/>
      </c>
      <c r="J1816">
        <f>IF(C1816="","",J1815+$N$6*(C1816*$N$5-J1815))</f>
        <v/>
      </c>
      <c r="K1816">
        <f>IF(B1816="","",B1816-B1815)</f>
        <v/>
      </c>
    </row>
    <row r="1817">
      <c r="G1817">
        <f>IF(C1817="","",C1817*$N$5)</f>
        <v/>
      </c>
      <c r="H1817">
        <f>IF(C1817="","",AVERAGE(C1814:C1817)*$N$5)</f>
        <v/>
      </c>
      <c r="I1817">
        <f>IF(C1817="","",AVERAGE(C1802:C1817)*$N$5)</f>
        <v/>
      </c>
      <c r="J1817">
        <f>IF(C1817="","",J1816+$N$6*(C1817*$N$5-J1816))</f>
        <v/>
      </c>
      <c r="K1817">
        <f>IF(B1817="","",B1817-B1816)</f>
        <v/>
      </c>
    </row>
    <row r="1818">
      <c r="G1818">
        <f>IF(C1818="","",C1818*$N$5)</f>
        <v/>
      </c>
      <c r="H1818">
        <f>IF(C1818="","",AVERAGE(C1815:C1818)*$N$5)</f>
        <v/>
      </c>
      <c r="I1818">
        <f>IF(C1818="","",AVERAGE(C1803:C1818)*$N$5)</f>
        <v/>
      </c>
      <c r="J1818">
        <f>IF(C1818="","",J1817+$N$6*(C1818*$N$5-J1817))</f>
        <v/>
      </c>
      <c r="K1818">
        <f>IF(B1818="","",B1818-B1817)</f>
        <v/>
      </c>
    </row>
    <row r="1819">
      <c r="G1819">
        <f>IF(C1819="","",C1819*$N$5)</f>
        <v/>
      </c>
      <c r="H1819">
        <f>IF(C1819="","",AVERAGE(C1816:C1819)*$N$5)</f>
        <v/>
      </c>
      <c r="I1819">
        <f>IF(C1819="","",AVERAGE(C1804:C1819)*$N$5)</f>
        <v/>
      </c>
      <c r="J1819">
        <f>IF(C1819="","",J1818+$N$6*(C1819*$N$5-J1818))</f>
        <v/>
      </c>
      <c r="K1819">
        <f>IF(B1819="","",B1819-B1818)</f>
        <v/>
      </c>
    </row>
    <row r="1820">
      <c r="G1820">
        <f>IF(C1820="","",C1820*$N$5)</f>
        <v/>
      </c>
      <c r="H1820">
        <f>IF(C1820="","",AVERAGE(C1817:C1820)*$N$5)</f>
        <v/>
      </c>
      <c r="I1820">
        <f>IF(C1820="","",AVERAGE(C1805:C1820)*$N$5)</f>
        <v/>
      </c>
      <c r="J1820">
        <f>IF(C1820="","",J1819+$N$6*(C1820*$N$5-J1819))</f>
        <v/>
      </c>
      <c r="K1820">
        <f>IF(B1820="","",B1820-B1819)</f>
        <v/>
      </c>
    </row>
    <row r="1821">
      <c r="G1821">
        <f>IF(C1821="","",C1821*$N$5)</f>
        <v/>
      </c>
      <c r="H1821">
        <f>IF(C1821="","",AVERAGE(C1818:C1821)*$N$5)</f>
        <v/>
      </c>
      <c r="I1821">
        <f>IF(C1821="","",AVERAGE(C1806:C1821)*$N$5)</f>
        <v/>
      </c>
      <c r="J1821">
        <f>IF(C1821="","",J1820+$N$6*(C1821*$N$5-J1820))</f>
        <v/>
      </c>
      <c r="K1821">
        <f>IF(B1821="","",B1821-B1820)</f>
        <v/>
      </c>
    </row>
    <row r="1822">
      <c r="G1822">
        <f>IF(C1822="","",C1822*$N$5)</f>
        <v/>
      </c>
      <c r="H1822">
        <f>IF(C1822="","",AVERAGE(C1819:C1822)*$N$5)</f>
        <v/>
      </c>
      <c r="I1822">
        <f>IF(C1822="","",AVERAGE(C1807:C1822)*$N$5)</f>
        <v/>
      </c>
      <c r="J1822">
        <f>IF(C1822="","",J1821+$N$6*(C1822*$N$5-J1821))</f>
        <v/>
      </c>
      <c r="K1822">
        <f>IF(B1822="","",B1822-B1821)</f>
        <v/>
      </c>
    </row>
    <row r="1823">
      <c r="G1823">
        <f>IF(C1823="","",C1823*$N$5)</f>
        <v/>
      </c>
      <c r="H1823">
        <f>IF(C1823="","",AVERAGE(C1820:C1823)*$N$5)</f>
        <v/>
      </c>
      <c r="I1823">
        <f>IF(C1823="","",AVERAGE(C1808:C1823)*$N$5)</f>
        <v/>
      </c>
      <c r="J1823">
        <f>IF(C1823="","",J1822+$N$6*(C1823*$N$5-J1822))</f>
        <v/>
      </c>
      <c r="K1823">
        <f>IF(B1823="","",B1823-B1822)</f>
        <v/>
      </c>
    </row>
    <row r="1824">
      <c r="G1824">
        <f>IF(C1824="","",C1824*$N$5)</f>
        <v/>
      </c>
      <c r="H1824">
        <f>IF(C1824="","",AVERAGE(C1821:C1824)*$N$5)</f>
        <v/>
      </c>
      <c r="I1824">
        <f>IF(C1824="","",AVERAGE(C1809:C1824)*$N$5)</f>
        <v/>
      </c>
      <c r="J1824">
        <f>IF(C1824="","",J1823+$N$6*(C1824*$N$5-J1823))</f>
        <v/>
      </c>
      <c r="K1824">
        <f>IF(B1824="","",B1824-B1823)</f>
        <v/>
      </c>
    </row>
    <row r="1825">
      <c r="G1825">
        <f>IF(C1825="","",C1825*$N$5)</f>
        <v/>
      </c>
      <c r="H1825">
        <f>IF(C1825="","",AVERAGE(C1822:C1825)*$N$5)</f>
        <v/>
      </c>
      <c r="I1825">
        <f>IF(C1825="","",AVERAGE(C1810:C1825)*$N$5)</f>
        <v/>
      </c>
      <c r="J1825">
        <f>IF(C1825="","",J1824+$N$6*(C1825*$N$5-J1824))</f>
        <v/>
      </c>
      <c r="K1825">
        <f>IF(B1825="","",B1825-B1824)</f>
        <v/>
      </c>
    </row>
    <row r="1826">
      <c r="G1826">
        <f>IF(C1826="","",C1826*$N$5)</f>
        <v/>
      </c>
      <c r="H1826">
        <f>IF(C1826="","",AVERAGE(C1823:C1826)*$N$5)</f>
        <v/>
      </c>
      <c r="I1826">
        <f>IF(C1826="","",AVERAGE(C1811:C1826)*$N$5)</f>
        <v/>
      </c>
      <c r="J1826">
        <f>IF(C1826="","",J1825+$N$6*(C1826*$N$5-J1825))</f>
        <v/>
      </c>
      <c r="K1826">
        <f>IF(B1826="","",B1826-B1825)</f>
        <v/>
      </c>
    </row>
    <row r="1827">
      <c r="G1827">
        <f>IF(C1827="","",C1827*$N$5)</f>
        <v/>
      </c>
      <c r="H1827">
        <f>IF(C1827="","",AVERAGE(C1824:C1827)*$N$5)</f>
        <v/>
      </c>
      <c r="I1827">
        <f>IF(C1827="","",AVERAGE(C1812:C1827)*$N$5)</f>
        <v/>
      </c>
      <c r="J1827">
        <f>IF(C1827="","",J1826+$N$6*(C1827*$N$5-J1826))</f>
        <v/>
      </c>
      <c r="K1827">
        <f>IF(B1827="","",B1827-B1826)</f>
        <v/>
      </c>
    </row>
    <row r="1828">
      <c r="G1828">
        <f>IF(C1828="","",C1828*$N$5)</f>
        <v/>
      </c>
      <c r="H1828">
        <f>IF(C1828="","",AVERAGE(C1825:C1828)*$N$5)</f>
        <v/>
      </c>
      <c r="I1828">
        <f>IF(C1828="","",AVERAGE(C1813:C1828)*$N$5)</f>
        <v/>
      </c>
      <c r="J1828">
        <f>IF(C1828="","",J1827+$N$6*(C1828*$N$5-J1827))</f>
        <v/>
      </c>
      <c r="K1828">
        <f>IF(B1828="","",B1828-B1827)</f>
        <v/>
      </c>
    </row>
    <row r="1829">
      <c r="G1829">
        <f>IF(C1829="","",C1829*$N$5)</f>
        <v/>
      </c>
      <c r="H1829">
        <f>IF(C1829="","",AVERAGE(C1826:C1829)*$N$5)</f>
        <v/>
      </c>
      <c r="I1829">
        <f>IF(C1829="","",AVERAGE(C1814:C1829)*$N$5)</f>
        <v/>
      </c>
      <c r="J1829">
        <f>IF(C1829="","",J1828+$N$6*(C1829*$N$5-J1828))</f>
        <v/>
      </c>
      <c r="K1829">
        <f>IF(B1829="","",B1829-B1828)</f>
        <v/>
      </c>
    </row>
    <row r="1830">
      <c r="G1830">
        <f>IF(C1830="","",C1830*$N$5)</f>
        <v/>
      </c>
      <c r="H1830">
        <f>IF(C1830="","",AVERAGE(C1827:C1830)*$N$5)</f>
        <v/>
      </c>
      <c r="I1830">
        <f>IF(C1830="","",AVERAGE(C1815:C1830)*$N$5)</f>
        <v/>
      </c>
      <c r="J1830">
        <f>IF(C1830="","",J1829+$N$6*(C1830*$N$5-J1829))</f>
        <v/>
      </c>
      <c r="K1830">
        <f>IF(B1830="","",B1830-B1829)</f>
        <v/>
      </c>
    </row>
    <row r="1831">
      <c r="G1831">
        <f>IF(C1831="","",C1831*$N$5)</f>
        <v/>
      </c>
      <c r="H1831">
        <f>IF(C1831="","",AVERAGE(C1828:C1831)*$N$5)</f>
        <v/>
      </c>
      <c r="I1831">
        <f>IF(C1831="","",AVERAGE(C1816:C1831)*$N$5)</f>
        <v/>
      </c>
      <c r="J1831">
        <f>IF(C1831="","",J1830+$N$6*(C1831*$N$5-J1830))</f>
        <v/>
      </c>
      <c r="K1831">
        <f>IF(B1831="","",B1831-B1830)</f>
        <v/>
      </c>
    </row>
    <row r="1832">
      <c r="G1832">
        <f>IF(C1832="","",C1832*$N$5)</f>
        <v/>
      </c>
      <c r="H1832">
        <f>IF(C1832="","",AVERAGE(C1829:C1832)*$N$5)</f>
        <v/>
      </c>
      <c r="I1832">
        <f>IF(C1832="","",AVERAGE(C1817:C1832)*$N$5)</f>
        <v/>
      </c>
      <c r="J1832">
        <f>IF(C1832="","",J1831+$N$6*(C1832*$N$5-J1831))</f>
        <v/>
      </c>
      <c r="K1832">
        <f>IF(B1832="","",B1832-B1831)</f>
        <v/>
      </c>
    </row>
    <row r="1833">
      <c r="G1833">
        <f>IF(C1833="","",C1833*$N$5)</f>
        <v/>
      </c>
      <c r="H1833">
        <f>IF(C1833="","",AVERAGE(C1830:C1833)*$N$5)</f>
        <v/>
      </c>
      <c r="I1833">
        <f>IF(C1833="","",AVERAGE(C1818:C1833)*$N$5)</f>
        <v/>
      </c>
      <c r="J1833">
        <f>IF(C1833="","",J1832+$N$6*(C1833*$N$5-J1832))</f>
        <v/>
      </c>
      <c r="K1833">
        <f>IF(B1833="","",B1833-B1832)</f>
        <v/>
      </c>
    </row>
    <row r="1834">
      <c r="G1834">
        <f>IF(C1834="","",C1834*$N$5)</f>
        <v/>
      </c>
      <c r="H1834">
        <f>IF(C1834="","",AVERAGE(C1831:C1834)*$N$5)</f>
        <v/>
      </c>
      <c r="I1834">
        <f>IF(C1834="","",AVERAGE(C1819:C1834)*$N$5)</f>
        <v/>
      </c>
      <c r="J1834">
        <f>IF(C1834="","",J1833+$N$6*(C1834*$N$5-J1833))</f>
        <v/>
      </c>
      <c r="K1834">
        <f>IF(B1834="","",B1834-B1833)</f>
        <v/>
      </c>
    </row>
    <row r="1835">
      <c r="G1835">
        <f>IF(C1835="","",C1835*$N$5)</f>
        <v/>
      </c>
      <c r="H1835">
        <f>IF(C1835="","",AVERAGE(C1832:C1835)*$N$5)</f>
        <v/>
      </c>
      <c r="I1835">
        <f>IF(C1835="","",AVERAGE(C1820:C1835)*$N$5)</f>
        <v/>
      </c>
      <c r="J1835">
        <f>IF(C1835="","",J1834+$N$6*(C1835*$N$5-J1834))</f>
        <v/>
      </c>
      <c r="K1835">
        <f>IF(B1835="","",B1835-B1834)</f>
        <v/>
      </c>
    </row>
    <row r="1836">
      <c r="G1836">
        <f>IF(C1836="","",C1836*$N$5)</f>
        <v/>
      </c>
      <c r="H1836">
        <f>IF(C1836="","",AVERAGE(C1833:C1836)*$N$5)</f>
        <v/>
      </c>
      <c r="I1836">
        <f>IF(C1836="","",AVERAGE(C1821:C1836)*$N$5)</f>
        <v/>
      </c>
      <c r="J1836">
        <f>IF(C1836="","",J1835+$N$6*(C1836*$N$5-J1835))</f>
        <v/>
      </c>
      <c r="K1836">
        <f>IF(B1836="","",B1836-B1835)</f>
        <v/>
      </c>
    </row>
    <row r="1837">
      <c r="G1837">
        <f>IF(C1837="","",C1837*$N$5)</f>
        <v/>
      </c>
      <c r="H1837">
        <f>IF(C1837="","",AVERAGE(C1834:C1837)*$N$5)</f>
        <v/>
      </c>
      <c r="I1837">
        <f>IF(C1837="","",AVERAGE(C1822:C1837)*$N$5)</f>
        <v/>
      </c>
      <c r="J1837">
        <f>IF(C1837="","",J1836+$N$6*(C1837*$N$5-J1836))</f>
        <v/>
      </c>
      <c r="K1837">
        <f>IF(B1837="","",B1837-B1836)</f>
        <v/>
      </c>
    </row>
    <row r="1838">
      <c r="G1838">
        <f>IF(C1838="","",C1838*$N$5)</f>
        <v/>
      </c>
      <c r="H1838">
        <f>IF(C1838="","",AVERAGE(C1835:C1838)*$N$5)</f>
        <v/>
      </c>
      <c r="I1838">
        <f>IF(C1838="","",AVERAGE(C1823:C1838)*$N$5)</f>
        <v/>
      </c>
      <c r="J1838">
        <f>IF(C1838="","",J1837+$N$6*(C1838*$N$5-J1837))</f>
        <v/>
      </c>
      <c r="K1838">
        <f>IF(B1838="","",B1838-B1837)</f>
        <v/>
      </c>
    </row>
    <row r="1839">
      <c r="G1839">
        <f>IF(C1839="","",C1839*$N$5)</f>
        <v/>
      </c>
      <c r="H1839">
        <f>IF(C1839="","",AVERAGE(C1836:C1839)*$N$5)</f>
        <v/>
      </c>
      <c r="I1839">
        <f>IF(C1839="","",AVERAGE(C1824:C1839)*$N$5)</f>
        <v/>
      </c>
      <c r="J1839">
        <f>IF(C1839="","",J1838+$N$6*(C1839*$N$5-J1838))</f>
        <v/>
      </c>
      <c r="K1839">
        <f>IF(B1839="","",B1839-B1838)</f>
        <v/>
      </c>
    </row>
    <row r="1840">
      <c r="G1840">
        <f>IF(C1840="","",C1840*$N$5)</f>
        <v/>
      </c>
      <c r="H1840">
        <f>IF(C1840="","",AVERAGE(C1837:C1840)*$N$5)</f>
        <v/>
      </c>
      <c r="I1840">
        <f>IF(C1840="","",AVERAGE(C1825:C1840)*$N$5)</f>
        <v/>
      </c>
      <c r="J1840">
        <f>IF(C1840="","",J1839+$N$6*(C1840*$N$5-J1839))</f>
        <v/>
      </c>
      <c r="K1840">
        <f>IF(B1840="","",B1840-B1839)</f>
        <v/>
      </c>
    </row>
    <row r="1841">
      <c r="G1841">
        <f>IF(C1841="","",C1841*$N$5)</f>
        <v/>
      </c>
      <c r="H1841">
        <f>IF(C1841="","",AVERAGE(C1838:C1841)*$N$5)</f>
        <v/>
      </c>
      <c r="I1841">
        <f>IF(C1841="","",AVERAGE(C1826:C1841)*$N$5)</f>
        <v/>
      </c>
      <c r="J1841">
        <f>IF(C1841="","",J1840+$N$6*(C1841*$N$5-J1840))</f>
        <v/>
      </c>
      <c r="K1841">
        <f>IF(B1841="","",B1841-B1840)</f>
        <v/>
      </c>
    </row>
    <row r="1842">
      <c r="G1842">
        <f>IF(C1842="","",C1842*$N$5)</f>
        <v/>
      </c>
      <c r="H1842">
        <f>IF(C1842="","",AVERAGE(C1839:C1842)*$N$5)</f>
        <v/>
      </c>
      <c r="I1842">
        <f>IF(C1842="","",AVERAGE(C1827:C1842)*$N$5)</f>
        <v/>
      </c>
      <c r="J1842">
        <f>IF(C1842="","",J1841+$N$6*(C1842*$N$5-J1841))</f>
        <v/>
      </c>
      <c r="K1842">
        <f>IF(B1842="","",B1842-B1841)</f>
        <v/>
      </c>
    </row>
    <row r="1843">
      <c r="G1843">
        <f>IF(C1843="","",C1843*$N$5)</f>
        <v/>
      </c>
      <c r="H1843">
        <f>IF(C1843="","",AVERAGE(C1840:C1843)*$N$5)</f>
        <v/>
      </c>
      <c r="I1843">
        <f>IF(C1843="","",AVERAGE(C1828:C1843)*$N$5)</f>
        <v/>
      </c>
      <c r="J1843">
        <f>IF(C1843="","",J1842+$N$6*(C1843*$N$5-J1842))</f>
        <v/>
      </c>
      <c r="K1843">
        <f>IF(B1843="","",B1843-B1842)</f>
        <v/>
      </c>
    </row>
    <row r="1844">
      <c r="G1844">
        <f>IF(C1844="","",C1844*$N$5)</f>
        <v/>
      </c>
      <c r="H1844">
        <f>IF(C1844="","",AVERAGE(C1841:C1844)*$N$5)</f>
        <v/>
      </c>
      <c r="I1844">
        <f>IF(C1844="","",AVERAGE(C1829:C1844)*$N$5)</f>
        <v/>
      </c>
      <c r="J1844">
        <f>IF(C1844="","",J1843+$N$6*(C1844*$N$5-J1843))</f>
        <v/>
      </c>
      <c r="K1844">
        <f>IF(B1844="","",B1844-B1843)</f>
        <v/>
      </c>
    </row>
    <row r="1845">
      <c r="G1845">
        <f>IF(C1845="","",C1845*$N$5)</f>
        <v/>
      </c>
      <c r="H1845">
        <f>IF(C1845="","",AVERAGE(C1842:C1845)*$N$5)</f>
        <v/>
      </c>
      <c r="I1845">
        <f>IF(C1845="","",AVERAGE(C1830:C1845)*$N$5)</f>
        <v/>
      </c>
      <c r="J1845">
        <f>IF(C1845="","",J1844+$N$6*(C1845*$N$5-J1844))</f>
        <v/>
      </c>
      <c r="K1845">
        <f>IF(B1845="","",B1845-B1844)</f>
        <v/>
      </c>
    </row>
    <row r="1846">
      <c r="G1846">
        <f>IF(C1846="","",C1846*$N$5)</f>
        <v/>
      </c>
      <c r="H1846">
        <f>IF(C1846="","",AVERAGE(C1843:C1846)*$N$5)</f>
        <v/>
      </c>
      <c r="I1846">
        <f>IF(C1846="","",AVERAGE(C1831:C1846)*$N$5)</f>
        <v/>
      </c>
      <c r="J1846">
        <f>IF(C1846="","",J1845+$N$6*(C1846*$N$5-J1845))</f>
        <v/>
      </c>
      <c r="K1846">
        <f>IF(B1846="","",B1846-B1845)</f>
        <v/>
      </c>
    </row>
    <row r="1847">
      <c r="G1847">
        <f>IF(C1847="","",C1847*$N$5)</f>
        <v/>
      </c>
      <c r="H1847">
        <f>IF(C1847="","",AVERAGE(C1844:C1847)*$N$5)</f>
        <v/>
      </c>
      <c r="I1847">
        <f>IF(C1847="","",AVERAGE(C1832:C1847)*$N$5)</f>
        <v/>
      </c>
      <c r="J1847">
        <f>IF(C1847="","",J1846+$N$6*(C1847*$N$5-J1846))</f>
        <v/>
      </c>
      <c r="K1847">
        <f>IF(B1847="","",B1847-B1846)</f>
        <v/>
      </c>
    </row>
    <row r="1848">
      <c r="G1848">
        <f>IF(C1848="","",C1848*$N$5)</f>
        <v/>
      </c>
      <c r="H1848">
        <f>IF(C1848="","",AVERAGE(C1845:C1848)*$N$5)</f>
        <v/>
      </c>
      <c r="I1848">
        <f>IF(C1848="","",AVERAGE(C1833:C1848)*$N$5)</f>
        <v/>
      </c>
      <c r="J1848">
        <f>IF(C1848="","",J1847+$N$6*(C1848*$N$5-J1847))</f>
        <v/>
      </c>
      <c r="K1848">
        <f>IF(B1848="","",B1848-B1847)</f>
        <v/>
      </c>
    </row>
    <row r="1849">
      <c r="G1849">
        <f>IF(C1849="","",C1849*$N$5)</f>
        <v/>
      </c>
      <c r="H1849">
        <f>IF(C1849="","",AVERAGE(C1846:C1849)*$N$5)</f>
        <v/>
      </c>
      <c r="I1849">
        <f>IF(C1849="","",AVERAGE(C1834:C1849)*$N$5)</f>
        <v/>
      </c>
      <c r="J1849">
        <f>IF(C1849="","",J1848+$N$6*(C1849*$N$5-J1848))</f>
        <v/>
      </c>
      <c r="K1849">
        <f>IF(B1849="","",B1849-B1848)</f>
        <v/>
      </c>
    </row>
    <row r="1850">
      <c r="G1850">
        <f>IF(C1850="","",C1850*$N$5)</f>
        <v/>
      </c>
      <c r="H1850">
        <f>IF(C1850="","",AVERAGE(C1847:C1850)*$N$5)</f>
        <v/>
      </c>
      <c r="I1850">
        <f>IF(C1850="","",AVERAGE(C1835:C1850)*$N$5)</f>
        <v/>
      </c>
      <c r="J1850">
        <f>IF(C1850="","",J1849+$N$6*(C1850*$N$5-J1849))</f>
        <v/>
      </c>
      <c r="K1850">
        <f>IF(B1850="","",B1850-B1849)</f>
        <v/>
      </c>
    </row>
    <row r="1851">
      <c r="G1851">
        <f>IF(C1851="","",C1851*$N$5)</f>
        <v/>
      </c>
      <c r="H1851">
        <f>IF(C1851="","",AVERAGE(C1848:C1851)*$N$5)</f>
        <v/>
      </c>
      <c r="I1851">
        <f>IF(C1851="","",AVERAGE(C1836:C1851)*$N$5)</f>
        <v/>
      </c>
      <c r="J1851">
        <f>IF(C1851="","",J1850+$N$6*(C1851*$N$5-J1850))</f>
        <v/>
      </c>
      <c r="K1851">
        <f>IF(B1851="","",B1851-B1850)</f>
        <v/>
      </c>
    </row>
    <row r="1852">
      <c r="G1852">
        <f>IF(C1852="","",C1852*$N$5)</f>
        <v/>
      </c>
      <c r="H1852">
        <f>IF(C1852="","",AVERAGE(C1849:C1852)*$N$5)</f>
        <v/>
      </c>
      <c r="I1852">
        <f>IF(C1852="","",AVERAGE(C1837:C1852)*$N$5)</f>
        <v/>
      </c>
      <c r="J1852">
        <f>IF(C1852="","",J1851+$N$6*(C1852*$N$5-J1851))</f>
        <v/>
      </c>
      <c r="K1852">
        <f>IF(B1852="","",B1852-B1851)</f>
        <v/>
      </c>
    </row>
    <row r="1853">
      <c r="G1853">
        <f>IF(C1853="","",C1853*$N$5)</f>
        <v/>
      </c>
      <c r="H1853">
        <f>IF(C1853="","",AVERAGE(C1850:C1853)*$N$5)</f>
        <v/>
      </c>
      <c r="I1853">
        <f>IF(C1853="","",AVERAGE(C1838:C1853)*$N$5)</f>
        <v/>
      </c>
      <c r="J1853">
        <f>IF(C1853="","",J1852+$N$6*(C1853*$N$5-J1852))</f>
        <v/>
      </c>
      <c r="K1853">
        <f>IF(B1853="","",B1853-B1852)</f>
        <v/>
      </c>
    </row>
    <row r="1854">
      <c r="G1854">
        <f>IF(C1854="","",C1854*$N$5)</f>
        <v/>
      </c>
      <c r="H1854">
        <f>IF(C1854="","",AVERAGE(C1851:C1854)*$N$5)</f>
        <v/>
      </c>
      <c r="I1854">
        <f>IF(C1854="","",AVERAGE(C1839:C1854)*$N$5)</f>
        <v/>
      </c>
      <c r="J1854">
        <f>IF(C1854="","",J1853+$N$6*(C1854*$N$5-J1853))</f>
        <v/>
      </c>
      <c r="K1854">
        <f>IF(B1854="","",B1854-B1853)</f>
        <v/>
      </c>
    </row>
    <row r="1855">
      <c r="G1855">
        <f>IF(C1855="","",C1855*$N$5)</f>
        <v/>
      </c>
      <c r="H1855">
        <f>IF(C1855="","",AVERAGE(C1852:C1855)*$N$5)</f>
        <v/>
      </c>
      <c r="I1855">
        <f>IF(C1855="","",AVERAGE(C1840:C1855)*$N$5)</f>
        <v/>
      </c>
      <c r="J1855">
        <f>IF(C1855="","",J1854+$N$6*(C1855*$N$5-J1854))</f>
        <v/>
      </c>
      <c r="K1855">
        <f>IF(B1855="","",B1855-B1854)</f>
        <v/>
      </c>
    </row>
    <row r="1856">
      <c r="G1856">
        <f>IF(C1856="","",C1856*$N$5)</f>
        <v/>
      </c>
      <c r="H1856">
        <f>IF(C1856="","",AVERAGE(C1853:C1856)*$N$5)</f>
        <v/>
      </c>
      <c r="I1856">
        <f>IF(C1856="","",AVERAGE(C1841:C1856)*$N$5)</f>
        <v/>
      </c>
      <c r="J1856">
        <f>IF(C1856="","",J1855+$N$6*(C1856*$N$5-J1855))</f>
        <v/>
      </c>
      <c r="K1856">
        <f>IF(B1856="","",B1856-B1855)</f>
        <v/>
      </c>
    </row>
    <row r="1857">
      <c r="G1857">
        <f>IF(C1857="","",C1857*$N$5)</f>
        <v/>
      </c>
      <c r="H1857">
        <f>IF(C1857="","",AVERAGE(C1854:C1857)*$N$5)</f>
        <v/>
      </c>
      <c r="I1857">
        <f>IF(C1857="","",AVERAGE(C1842:C1857)*$N$5)</f>
        <v/>
      </c>
      <c r="J1857">
        <f>IF(C1857="","",J1856+$N$6*(C1857*$N$5-J1856))</f>
        <v/>
      </c>
      <c r="K1857">
        <f>IF(B1857="","",B1857-B1856)</f>
        <v/>
      </c>
    </row>
    <row r="1858">
      <c r="G1858">
        <f>IF(C1858="","",C1858*$N$5)</f>
        <v/>
      </c>
      <c r="H1858">
        <f>IF(C1858="","",AVERAGE(C1855:C1858)*$N$5)</f>
        <v/>
      </c>
      <c r="I1858">
        <f>IF(C1858="","",AVERAGE(C1843:C1858)*$N$5)</f>
        <v/>
      </c>
      <c r="J1858">
        <f>IF(C1858="","",J1857+$N$6*(C1858*$N$5-J1857))</f>
        <v/>
      </c>
      <c r="K1858">
        <f>IF(B1858="","",B1858-B1857)</f>
        <v/>
      </c>
    </row>
    <row r="1859">
      <c r="G1859">
        <f>IF(C1859="","",C1859*$N$5)</f>
        <v/>
      </c>
      <c r="H1859">
        <f>IF(C1859="","",AVERAGE(C1856:C1859)*$N$5)</f>
        <v/>
      </c>
      <c r="I1859">
        <f>IF(C1859="","",AVERAGE(C1844:C1859)*$N$5)</f>
        <v/>
      </c>
      <c r="J1859">
        <f>IF(C1859="","",J1858+$N$6*(C1859*$N$5-J1858))</f>
        <v/>
      </c>
      <c r="K1859">
        <f>IF(B1859="","",B1859-B1858)</f>
        <v/>
      </c>
    </row>
    <row r="1860">
      <c r="G1860">
        <f>IF(C1860="","",C1860*$N$5)</f>
        <v/>
      </c>
      <c r="H1860">
        <f>IF(C1860="","",AVERAGE(C1857:C1860)*$N$5)</f>
        <v/>
      </c>
      <c r="I1860">
        <f>IF(C1860="","",AVERAGE(C1845:C1860)*$N$5)</f>
        <v/>
      </c>
      <c r="J1860">
        <f>IF(C1860="","",J1859+$N$6*(C1860*$N$5-J1859))</f>
        <v/>
      </c>
      <c r="K1860">
        <f>IF(B1860="","",B1860-B1859)</f>
        <v/>
      </c>
    </row>
    <row r="1861">
      <c r="G1861">
        <f>IF(C1861="","",C1861*$N$5)</f>
        <v/>
      </c>
      <c r="H1861">
        <f>IF(C1861="","",AVERAGE(C1858:C1861)*$N$5)</f>
        <v/>
      </c>
      <c r="I1861">
        <f>IF(C1861="","",AVERAGE(C1846:C1861)*$N$5)</f>
        <v/>
      </c>
      <c r="J1861">
        <f>IF(C1861="","",J1860+$N$6*(C1861*$N$5-J1860))</f>
        <v/>
      </c>
      <c r="K1861">
        <f>IF(B1861="","",B1861-B1860)</f>
        <v/>
      </c>
    </row>
    <row r="1862">
      <c r="G1862">
        <f>IF(C1862="","",C1862*$N$5)</f>
        <v/>
      </c>
      <c r="H1862">
        <f>IF(C1862="","",AVERAGE(C1859:C1862)*$N$5)</f>
        <v/>
      </c>
      <c r="I1862">
        <f>IF(C1862="","",AVERAGE(C1847:C1862)*$N$5)</f>
        <v/>
      </c>
      <c r="J1862">
        <f>IF(C1862="","",J1861+$N$6*(C1862*$N$5-J1861))</f>
        <v/>
      </c>
      <c r="K1862">
        <f>IF(B1862="","",B1862-B1861)</f>
        <v/>
      </c>
    </row>
    <row r="1863">
      <c r="G1863">
        <f>IF(C1863="","",C1863*$N$5)</f>
        <v/>
      </c>
      <c r="H1863">
        <f>IF(C1863="","",AVERAGE(C1860:C1863)*$N$5)</f>
        <v/>
      </c>
      <c r="I1863">
        <f>IF(C1863="","",AVERAGE(C1848:C1863)*$N$5)</f>
        <v/>
      </c>
      <c r="J1863">
        <f>IF(C1863="","",J1862+$N$6*(C1863*$N$5-J1862))</f>
        <v/>
      </c>
      <c r="K1863">
        <f>IF(B1863="","",B1863-B1862)</f>
        <v/>
      </c>
    </row>
    <row r="1864">
      <c r="G1864">
        <f>IF(C1864="","",C1864*$N$5)</f>
        <v/>
      </c>
      <c r="H1864">
        <f>IF(C1864="","",AVERAGE(C1861:C1864)*$N$5)</f>
        <v/>
      </c>
      <c r="I1864">
        <f>IF(C1864="","",AVERAGE(C1849:C1864)*$N$5)</f>
        <v/>
      </c>
      <c r="J1864">
        <f>IF(C1864="","",J1863+$N$6*(C1864*$N$5-J1863))</f>
        <v/>
      </c>
      <c r="K1864">
        <f>IF(B1864="","",B1864-B1863)</f>
        <v/>
      </c>
    </row>
    <row r="1865">
      <c r="G1865">
        <f>IF(C1865="","",C1865*$N$5)</f>
        <v/>
      </c>
      <c r="H1865">
        <f>IF(C1865="","",AVERAGE(C1862:C1865)*$N$5)</f>
        <v/>
      </c>
      <c r="I1865">
        <f>IF(C1865="","",AVERAGE(C1850:C1865)*$N$5)</f>
        <v/>
      </c>
      <c r="J1865">
        <f>IF(C1865="","",J1864+$N$6*(C1865*$N$5-J1864))</f>
        <v/>
      </c>
      <c r="K1865">
        <f>IF(B1865="","",B1865-B1864)</f>
        <v/>
      </c>
    </row>
    <row r="1866">
      <c r="G1866">
        <f>IF(C1866="","",C1866*$N$5)</f>
        <v/>
      </c>
      <c r="H1866">
        <f>IF(C1866="","",AVERAGE(C1863:C1866)*$N$5)</f>
        <v/>
      </c>
      <c r="I1866">
        <f>IF(C1866="","",AVERAGE(C1851:C1866)*$N$5)</f>
        <v/>
      </c>
      <c r="J1866">
        <f>IF(C1866="","",J1865+$N$6*(C1866*$N$5-J1865))</f>
        <v/>
      </c>
      <c r="K1866">
        <f>IF(B1866="","",B1866-B1865)</f>
        <v/>
      </c>
    </row>
    <row r="1867">
      <c r="G1867">
        <f>IF(C1867="","",C1867*$N$5)</f>
        <v/>
      </c>
      <c r="H1867">
        <f>IF(C1867="","",AVERAGE(C1864:C1867)*$N$5)</f>
        <v/>
      </c>
      <c r="I1867">
        <f>IF(C1867="","",AVERAGE(C1852:C1867)*$N$5)</f>
        <v/>
      </c>
      <c r="J1867">
        <f>IF(C1867="","",J1866+$N$6*(C1867*$N$5-J1866))</f>
        <v/>
      </c>
      <c r="K1867">
        <f>IF(B1867="","",B1867-B1866)</f>
        <v/>
      </c>
    </row>
    <row r="1868">
      <c r="G1868">
        <f>IF(C1868="","",C1868*$N$5)</f>
        <v/>
      </c>
      <c r="H1868">
        <f>IF(C1868="","",AVERAGE(C1865:C1868)*$N$5)</f>
        <v/>
      </c>
      <c r="I1868">
        <f>IF(C1868="","",AVERAGE(C1853:C1868)*$N$5)</f>
        <v/>
      </c>
      <c r="J1868">
        <f>IF(C1868="","",J1867+$N$6*(C1868*$N$5-J1867))</f>
        <v/>
      </c>
      <c r="K1868">
        <f>IF(B1868="","",B1868-B1867)</f>
        <v/>
      </c>
    </row>
    <row r="1869">
      <c r="G1869">
        <f>IF(C1869="","",C1869*$N$5)</f>
        <v/>
      </c>
      <c r="H1869">
        <f>IF(C1869="","",AVERAGE(C1866:C1869)*$N$5)</f>
        <v/>
      </c>
      <c r="I1869">
        <f>IF(C1869="","",AVERAGE(C1854:C1869)*$N$5)</f>
        <v/>
      </c>
      <c r="J1869">
        <f>IF(C1869="","",J1868+$N$6*(C1869*$N$5-J1868))</f>
        <v/>
      </c>
      <c r="K1869">
        <f>IF(B1869="","",B1869-B1868)</f>
        <v/>
      </c>
    </row>
    <row r="1870">
      <c r="G1870">
        <f>IF(C1870="","",C1870*$N$5)</f>
        <v/>
      </c>
      <c r="H1870">
        <f>IF(C1870="","",AVERAGE(C1867:C1870)*$N$5)</f>
        <v/>
      </c>
      <c r="I1870">
        <f>IF(C1870="","",AVERAGE(C1855:C1870)*$N$5)</f>
        <v/>
      </c>
      <c r="J1870">
        <f>IF(C1870="","",J1869+$N$6*(C1870*$N$5-J1869))</f>
        <v/>
      </c>
      <c r="K1870">
        <f>IF(B1870="","",B1870-B1869)</f>
        <v/>
      </c>
    </row>
    <row r="1871">
      <c r="G1871">
        <f>IF(C1871="","",C1871*$N$5)</f>
        <v/>
      </c>
      <c r="H1871">
        <f>IF(C1871="","",AVERAGE(C1868:C1871)*$N$5)</f>
        <v/>
      </c>
      <c r="I1871">
        <f>IF(C1871="","",AVERAGE(C1856:C1871)*$N$5)</f>
        <v/>
      </c>
      <c r="J1871">
        <f>IF(C1871="","",J1870+$N$6*(C1871*$N$5-J1870))</f>
        <v/>
      </c>
      <c r="K1871">
        <f>IF(B1871="","",B1871-B1870)</f>
        <v/>
      </c>
    </row>
    <row r="1872">
      <c r="G1872">
        <f>IF(C1872="","",C1872*$N$5)</f>
        <v/>
      </c>
      <c r="H1872">
        <f>IF(C1872="","",AVERAGE(C1869:C1872)*$N$5)</f>
        <v/>
      </c>
      <c r="I1872">
        <f>IF(C1872="","",AVERAGE(C1857:C1872)*$N$5)</f>
        <v/>
      </c>
      <c r="J1872">
        <f>IF(C1872="","",J1871+$N$6*(C1872*$N$5-J1871))</f>
        <v/>
      </c>
      <c r="K1872">
        <f>IF(B1872="","",B1872-B1871)</f>
        <v/>
      </c>
    </row>
    <row r="1873">
      <c r="G1873">
        <f>IF(C1873="","",C1873*$N$5)</f>
        <v/>
      </c>
      <c r="H1873">
        <f>IF(C1873="","",AVERAGE(C1870:C1873)*$N$5)</f>
        <v/>
      </c>
      <c r="I1873">
        <f>IF(C1873="","",AVERAGE(C1858:C1873)*$N$5)</f>
        <v/>
      </c>
      <c r="J1873">
        <f>IF(C1873="","",J1872+$N$6*(C1873*$N$5-J1872))</f>
        <v/>
      </c>
      <c r="K1873">
        <f>IF(B1873="","",B1873-B1872)</f>
        <v/>
      </c>
    </row>
    <row r="1874">
      <c r="G1874">
        <f>IF(C1874="","",C1874*$N$5)</f>
        <v/>
      </c>
      <c r="H1874">
        <f>IF(C1874="","",AVERAGE(C1871:C1874)*$N$5)</f>
        <v/>
      </c>
      <c r="I1874">
        <f>IF(C1874="","",AVERAGE(C1859:C1874)*$N$5)</f>
        <v/>
      </c>
      <c r="J1874">
        <f>IF(C1874="","",J1873+$N$6*(C1874*$N$5-J1873))</f>
        <v/>
      </c>
      <c r="K1874">
        <f>IF(B1874="","",B1874-B1873)</f>
        <v/>
      </c>
    </row>
    <row r="1875">
      <c r="G1875">
        <f>IF(C1875="","",C1875*$N$5)</f>
        <v/>
      </c>
      <c r="H1875">
        <f>IF(C1875="","",AVERAGE(C1872:C1875)*$N$5)</f>
        <v/>
      </c>
      <c r="I1875">
        <f>IF(C1875="","",AVERAGE(C1860:C1875)*$N$5)</f>
        <v/>
      </c>
      <c r="J1875">
        <f>IF(C1875="","",J1874+$N$6*(C1875*$N$5-J1874))</f>
        <v/>
      </c>
      <c r="K1875">
        <f>IF(B1875="","",B1875-B1874)</f>
        <v/>
      </c>
    </row>
    <row r="1876">
      <c r="G1876">
        <f>IF(C1876="","",C1876*$N$5)</f>
        <v/>
      </c>
      <c r="H1876">
        <f>IF(C1876="","",AVERAGE(C1873:C1876)*$N$5)</f>
        <v/>
      </c>
      <c r="I1876">
        <f>IF(C1876="","",AVERAGE(C1861:C1876)*$N$5)</f>
        <v/>
      </c>
      <c r="J1876">
        <f>IF(C1876="","",J1875+$N$6*(C1876*$N$5-J1875))</f>
        <v/>
      </c>
      <c r="K1876">
        <f>IF(B1876="","",B1876-B1875)</f>
        <v/>
      </c>
    </row>
    <row r="1877">
      <c r="G1877">
        <f>IF(C1877="","",C1877*$N$5)</f>
        <v/>
      </c>
      <c r="H1877">
        <f>IF(C1877="","",AVERAGE(C1874:C1877)*$N$5)</f>
        <v/>
      </c>
      <c r="I1877">
        <f>IF(C1877="","",AVERAGE(C1862:C1877)*$N$5)</f>
        <v/>
      </c>
      <c r="J1877">
        <f>IF(C1877="","",J1876+$N$6*(C1877*$N$5-J1876))</f>
        <v/>
      </c>
      <c r="K1877">
        <f>IF(B1877="","",B1877-B1876)</f>
        <v/>
      </c>
    </row>
    <row r="1878">
      <c r="G1878">
        <f>IF(C1878="","",C1878*$N$5)</f>
        <v/>
      </c>
      <c r="H1878">
        <f>IF(C1878="","",AVERAGE(C1875:C1878)*$N$5)</f>
        <v/>
      </c>
      <c r="I1878">
        <f>IF(C1878="","",AVERAGE(C1863:C1878)*$N$5)</f>
        <v/>
      </c>
      <c r="J1878">
        <f>IF(C1878="","",J1877+$N$6*(C1878*$N$5-J1877))</f>
        <v/>
      </c>
      <c r="K1878">
        <f>IF(B1878="","",B1878-B1877)</f>
        <v/>
      </c>
    </row>
    <row r="1879">
      <c r="G1879">
        <f>IF(C1879="","",C1879*$N$5)</f>
        <v/>
      </c>
      <c r="H1879">
        <f>IF(C1879="","",AVERAGE(C1876:C1879)*$N$5)</f>
        <v/>
      </c>
      <c r="I1879">
        <f>IF(C1879="","",AVERAGE(C1864:C1879)*$N$5)</f>
        <v/>
      </c>
      <c r="J1879">
        <f>IF(C1879="","",J1878+$N$6*(C1879*$N$5-J1878))</f>
        <v/>
      </c>
      <c r="K1879">
        <f>IF(B1879="","",B1879-B1878)</f>
        <v/>
      </c>
    </row>
    <row r="1880">
      <c r="G1880">
        <f>IF(C1880="","",C1880*$N$5)</f>
        <v/>
      </c>
      <c r="H1880">
        <f>IF(C1880="","",AVERAGE(C1877:C1880)*$N$5)</f>
        <v/>
      </c>
      <c r="I1880">
        <f>IF(C1880="","",AVERAGE(C1865:C1880)*$N$5)</f>
        <v/>
      </c>
      <c r="J1880">
        <f>IF(C1880="","",J1879+$N$6*(C1880*$N$5-J1879))</f>
        <v/>
      </c>
      <c r="K1880">
        <f>IF(B1880="","",B1880-B1879)</f>
        <v/>
      </c>
    </row>
    <row r="1881">
      <c r="G1881">
        <f>IF(C1881="","",C1881*$N$5)</f>
        <v/>
      </c>
      <c r="H1881">
        <f>IF(C1881="","",AVERAGE(C1878:C1881)*$N$5)</f>
        <v/>
      </c>
      <c r="I1881">
        <f>IF(C1881="","",AVERAGE(C1866:C1881)*$N$5)</f>
        <v/>
      </c>
      <c r="J1881">
        <f>IF(C1881="","",J1880+$N$6*(C1881*$N$5-J1880))</f>
        <v/>
      </c>
      <c r="K1881">
        <f>IF(B1881="","",B1881-B1880)</f>
        <v/>
      </c>
    </row>
    <row r="1882">
      <c r="G1882">
        <f>IF(C1882="","",C1882*$N$5)</f>
        <v/>
      </c>
      <c r="H1882">
        <f>IF(C1882="","",AVERAGE(C1879:C1882)*$N$5)</f>
        <v/>
      </c>
      <c r="I1882">
        <f>IF(C1882="","",AVERAGE(C1867:C1882)*$N$5)</f>
        <v/>
      </c>
      <c r="J1882">
        <f>IF(C1882="","",J1881+$N$6*(C1882*$N$5-J1881))</f>
        <v/>
      </c>
      <c r="K1882">
        <f>IF(B1882="","",B1882-B1881)</f>
        <v/>
      </c>
    </row>
    <row r="1883">
      <c r="G1883">
        <f>IF(C1883="","",C1883*$N$5)</f>
        <v/>
      </c>
      <c r="H1883">
        <f>IF(C1883="","",AVERAGE(C1880:C1883)*$N$5)</f>
        <v/>
      </c>
      <c r="I1883">
        <f>IF(C1883="","",AVERAGE(C1868:C1883)*$N$5)</f>
        <v/>
      </c>
      <c r="J1883">
        <f>IF(C1883="","",J1882+$N$6*(C1883*$N$5-J1882))</f>
        <v/>
      </c>
      <c r="K1883">
        <f>IF(B1883="","",B1883-B1882)</f>
        <v/>
      </c>
    </row>
    <row r="1884">
      <c r="G1884">
        <f>IF(C1884="","",C1884*$N$5)</f>
        <v/>
      </c>
      <c r="H1884">
        <f>IF(C1884="","",AVERAGE(C1881:C1884)*$N$5)</f>
        <v/>
      </c>
      <c r="I1884">
        <f>IF(C1884="","",AVERAGE(C1869:C1884)*$N$5)</f>
        <v/>
      </c>
      <c r="J1884">
        <f>IF(C1884="","",J1883+$N$6*(C1884*$N$5-J1883))</f>
        <v/>
      </c>
      <c r="K1884">
        <f>IF(B1884="","",B1884-B1883)</f>
        <v/>
      </c>
    </row>
    <row r="1885">
      <c r="G1885">
        <f>IF(C1885="","",C1885*$N$5)</f>
        <v/>
      </c>
      <c r="H1885">
        <f>IF(C1885="","",AVERAGE(C1882:C1885)*$N$5)</f>
        <v/>
      </c>
      <c r="I1885">
        <f>IF(C1885="","",AVERAGE(C1870:C1885)*$N$5)</f>
        <v/>
      </c>
      <c r="J1885">
        <f>IF(C1885="","",J1884+$N$6*(C1885*$N$5-J1884))</f>
        <v/>
      </c>
      <c r="K1885">
        <f>IF(B1885="","",B1885-B1884)</f>
        <v/>
      </c>
    </row>
    <row r="1886">
      <c r="G1886">
        <f>IF(C1886="","",C1886*$N$5)</f>
        <v/>
      </c>
      <c r="H1886">
        <f>IF(C1886="","",AVERAGE(C1883:C1886)*$N$5)</f>
        <v/>
      </c>
      <c r="I1886">
        <f>IF(C1886="","",AVERAGE(C1871:C1886)*$N$5)</f>
        <v/>
      </c>
      <c r="J1886">
        <f>IF(C1886="","",J1885+$N$6*(C1886*$N$5-J1885))</f>
        <v/>
      </c>
      <c r="K1886">
        <f>IF(B1886="","",B1886-B1885)</f>
        <v/>
      </c>
    </row>
    <row r="1887">
      <c r="G1887">
        <f>IF(C1887="","",C1887*$N$5)</f>
        <v/>
      </c>
      <c r="H1887">
        <f>IF(C1887="","",AVERAGE(C1884:C1887)*$N$5)</f>
        <v/>
      </c>
      <c r="I1887">
        <f>IF(C1887="","",AVERAGE(C1872:C1887)*$N$5)</f>
        <v/>
      </c>
      <c r="J1887">
        <f>IF(C1887="","",J1886+$N$6*(C1887*$N$5-J1886))</f>
        <v/>
      </c>
      <c r="K1887">
        <f>IF(B1887="","",B1887-B1886)</f>
        <v/>
      </c>
    </row>
    <row r="1888">
      <c r="G1888">
        <f>IF(C1888="","",C1888*$N$5)</f>
        <v/>
      </c>
      <c r="H1888">
        <f>IF(C1888="","",AVERAGE(C1885:C1888)*$N$5)</f>
        <v/>
      </c>
      <c r="I1888">
        <f>IF(C1888="","",AVERAGE(C1873:C1888)*$N$5)</f>
        <v/>
      </c>
      <c r="J1888">
        <f>IF(C1888="","",J1887+$N$6*(C1888*$N$5-J1887))</f>
        <v/>
      </c>
      <c r="K1888">
        <f>IF(B1888="","",B1888-B1887)</f>
        <v/>
      </c>
    </row>
    <row r="1889">
      <c r="G1889">
        <f>IF(C1889="","",C1889*$N$5)</f>
        <v/>
      </c>
      <c r="H1889">
        <f>IF(C1889="","",AVERAGE(C1886:C1889)*$N$5)</f>
        <v/>
      </c>
      <c r="I1889">
        <f>IF(C1889="","",AVERAGE(C1874:C1889)*$N$5)</f>
        <v/>
      </c>
      <c r="J1889">
        <f>IF(C1889="","",J1888+$N$6*(C1889*$N$5-J1888))</f>
        <v/>
      </c>
      <c r="K1889">
        <f>IF(B1889="","",B1889-B1888)</f>
        <v/>
      </c>
    </row>
    <row r="1890">
      <c r="G1890">
        <f>IF(C1890="","",C1890*$N$5)</f>
        <v/>
      </c>
      <c r="H1890">
        <f>IF(C1890="","",AVERAGE(C1887:C1890)*$N$5)</f>
        <v/>
      </c>
      <c r="I1890">
        <f>IF(C1890="","",AVERAGE(C1875:C1890)*$N$5)</f>
        <v/>
      </c>
      <c r="J1890">
        <f>IF(C1890="","",J1889+$N$6*(C1890*$N$5-J1889))</f>
        <v/>
      </c>
      <c r="K1890">
        <f>IF(B1890="","",B1890-B1889)</f>
        <v/>
      </c>
    </row>
    <row r="1891">
      <c r="G1891">
        <f>IF(C1891="","",C1891*$N$5)</f>
        <v/>
      </c>
      <c r="H1891">
        <f>IF(C1891="","",AVERAGE(C1888:C1891)*$N$5)</f>
        <v/>
      </c>
      <c r="I1891">
        <f>IF(C1891="","",AVERAGE(C1876:C1891)*$N$5)</f>
        <v/>
      </c>
      <c r="J1891">
        <f>IF(C1891="","",J1890+$N$6*(C1891*$N$5-J1890))</f>
        <v/>
      </c>
      <c r="K1891">
        <f>IF(B1891="","",B1891-B1890)</f>
        <v/>
      </c>
    </row>
    <row r="1892">
      <c r="G1892">
        <f>IF(C1892="","",C1892*$N$5)</f>
        <v/>
      </c>
      <c r="H1892">
        <f>IF(C1892="","",AVERAGE(C1889:C1892)*$N$5)</f>
        <v/>
      </c>
      <c r="I1892">
        <f>IF(C1892="","",AVERAGE(C1877:C1892)*$N$5)</f>
        <v/>
      </c>
      <c r="J1892">
        <f>IF(C1892="","",J1891+$N$6*(C1892*$N$5-J1891))</f>
        <v/>
      </c>
      <c r="K1892">
        <f>IF(B1892="","",B1892-B1891)</f>
        <v/>
      </c>
    </row>
    <row r="1893">
      <c r="G1893">
        <f>IF(C1893="","",C1893*$N$5)</f>
        <v/>
      </c>
      <c r="H1893">
        <f>IF(C1893="","",AVERAGE(C1890:C1893)*$N$5)</f>
        <v/>
      </c>
      <c r="I1893">
        <f>IF(C1893="","",AVERAGE(C1878:C1893)*$N$5)</f>
        <v/>
      </c>
      <c r="J1893">
        <f>IF(C1893="","",J1892+$N$6*(C1893*$N$5-J1892))</f>
        <v/>
      </c>
      <c r="K1893">
        <f>IF(B1893="","",B1893-B1892)</f>
        <v/>
      </c>
    </row>
    <row r="1894">
      <c r="G1894">
        <f>IF(C1894="","",C1894*$N$5)</f>
        <v/>
      </c>
      <c r="H1894">
        <f>IF(C1894="","",AVERAGE(C1891:C1894)*$N$5)</f>
        <v/>
      </c>
      <c r="I1894">
        <f>IF(C1894="","",AVERAGE(C1879:C1894)*$N$5)</f>
        <v/>
      </c>
      <c r="J1894">
        <f>IF(C1894="","",J1893+$N$6*(C1894*$N$5-J1893))</f>
        <v/>
      </c>
      <c r="K1894">
        <f>IF(B1894="","",B1894-B1893)</f>
        <v/>
      </c>
    </row>
    <row r="1895">
      <c r="G1895">
        <f>IF(C1895="","",C1895*$N$5)</f>
        <v/>
      </c>
      <c r="H1895">
        <f>IF(C1895="","",AVERAGE(C1892:C1895)*$N$5)</f>
        <v/>
      </c>
      <c r="I1895">
        <f>IF(C1895="","",AVERAGE(C1880:C1895)*$N$5)</f>
        <v/>
      </c>
      <c r="J1895">
        <f>IF(C1895="","",J1894+$N$6*(C1895*$N$5-J1894))</f>
        <v/>
      </c>
      <c r="K1895">
        <f>IF(B1895="","",B1895-B1894)</f>
        <v/>
      </c>
    </row>
    <row r="1896">
      <c r="G1896">
        <f>IF(C1896="","",C1896*$N$5)</f>
        <v/>
      </c>
      <c r="H1896">
        <f>IF(C1896="","",AVERAGE(C1893:C1896)*$N$5)</f>
        <v/>
      </c>
      <c r="I1896">
        <f>IF(C1896="","",AVERAGE(C1881:C1896)*$N$5)</f>
        <v/>
      </c>
      <c r="J1896">
        <f>IF(C1896="","",J1895+$N$6*(C1896*$N$5-J1895))</f>
        <v/>
      </c>
      <c r="K1896">
        <f>IF(B1896="","",B1896-B1895)</f>
        <v/>
      </c>
    </row>
    <row r="1897">
      <c r="G1897">
        <f>IF(C1897="","",C1897*$N$5)</f>
        <v/>
      </c>
      <c r="H1897">
        <f>IF(C1897="","",AVERAGE(C1894:C1897)*$N$5)</f>
        <v/>
      </c>
      <c r="I1897">
        <f>IF(C1897="","",AVERAGE(C1882:C1897)*$N$5)</f>
        <v/>
      </c>
      <c r="J1897">
        <f>IF(C1897="","",J1896+$N$6*(C1897*$N$5-J1896))</f>
        <v/>
      </c>
      <c r="K1897">
        <f>IF(B1897="","",B1897-B1896)</f>
        <v/>
      </c>
    </row>
    <row r="1898">
      <c r="G1898">
        <f>IF(C1898="","",C1898*$N$5)</f>
        <v/>
      </c>
      <c r="H1898">
        <f>IF(C1898="","",AVERAGE(C1895:C1898)*$N$5)</f>
        <v/>
      </c>
      <c r="I1898">
        <f>IF(C1898="","",AVERAGE(C1883:C1898)*$N$5)</f>
        <v/>
      </c>
      <c r="J1898">
        <f>IF(C1898="","",J1897+$N$6*(C1898*$N$5-J1897))</f>
        <v/>
      </c>
      <c r="K1898">
        <f>IF(B1898="","",B1898-B1897)</f>
        <v/>
      </c>
    </row>
    <row r="1899">
      <c r="G1899">
        <f>IF(C1899="","",C1899*$N$5)</f>
        <v/>
      </c>
      <c r="H1899">
        <f>IF(C1899="","",AVERAGE(C1896:C1899)*$N$5)</f>
        <v/>
      </c>
      <c r="I1899">
        <f>IF(C1899="","",AVERAGE(C1884:C1899)*$N$5)</f>
        <v/>
      </c>
      <c r="J1899">
        <f>IF(C1899="","",J1898+$N$6*(C1899*$N$5-J1898))</f>
        <v/>
      </c>
      <c r="K1899">
        <f>IF(B1899="","",B1899-B1898)</f>
        <v/>
      </c>
    </row>
    <row r="1900">
      <c r="G1900">
        <f>IF(C1900="","",C1900*$N$5)</f>
        <v/>
      </c>
      <c r="H1900">
        <f>IF(C1900="","",AVERAGE(C1897:C1900)*$N$5)</f>
        <v/>
      </c>
      <c r="I1900">
        <f>IF(C1900="","",AVERAGE(C1885:C1900)*$N$5)</f>
        <v/>
      </c>
      <c r="J1900">
        <f>IF(C1900="","",J1899+$N$6*(C1900*$N$5-J1899))</f>
        <v/>
      </c>
      <c r="K1900">
        <f>IF(B1900="","",B1900-B1899)</f>
        <v/>
      </c>
    </row>
    <row r="1901">
      <c r="G1901">
        <f>IF(C1901="","",C1901*$N$5)</f>
        <v/>
      </c>
      <c r="H1901">
        <f>IF(C1901="","",AVERAGE(C1898:C1901)*$N$5)</f>
        <v/>
      </c>
      <c r="I1901">
        <f>IF(C1901="","",AVERAGE(C1886:C1901)*$N$5)</f>
        <v/>
      </c>
      <c r="J1901">
        <f>IF(C1901="","",J1900+$N$6*(C1901*$N$5-J1900))</f>
        <v/>
      </c>
      <c r="K1901">
        <f>IF(B1901="","",B1901-B1900)</f>
        <v/>
      </c>
    </row>
    <row r="1902">
      <c r="G1902">
        <f>IF(C1902="","",C1902*$N$5)</f>
        <v/>
      </c>
      <c r="H1902">
        <f>IF(C1902="","",AVERAGE(C1899:C1902)*$N$5)</f>
        <v/>
      </c>
      <c r="I1902">
        <f>IF(C1902="","",AVERAGE(C1887:C1902)*$N$5)</f>
        <v/>
      </c>
      <c r="J1902">
        <f>IF(C1902="","",J1901+$N$6*(C1902*$N$5-J1901))</f>
        <v/>
      </c>
      <c r="K1902">
        <f>IF(B1902="","",B1902-B1901)</f>
        <v/>
      </c>
    </row>
    <row r="1903">
      <c r="G1903">
        <f>IF(C1903="","",C1903*$N$5)</f>
        <v/>
      </c>
      <c r="H1903">
        <f>IF(C1903="","",AVERAGE(C1900:C1903)*$N$5)</f>
        <v/>
      </c>
      <c r="I1903">
        <f>IF(C1903="","",AVERAGE(C1888:C1903)*$N$5)</f>
        <v/>
      </c>
      <c r="J1903">
        <f>IF(C1903="","",J1902+$N$6*(C1903*$N$5-J1902))</f>
        <v/>
      </c>
      <c r="K1903">
        <f>IF(B1903="","",B1903-B1902)</f>
        <v/>
      </c>
    </row>
    <row r="1904">
      <c r="G1904">
        <f>IF(C1904="","",C1904*$N$5)</f>
        <v/>
      </c>
      <c r="H1904">
        <f>IF(C1904="","",AVERAGE(C1901:C1904)*$N$5)</f>
        <v/>
      </c>
      <c r="I1904">
        <f>IF(C1904="","",AVERAGE(C1889:C1904)*$N$5)</f>
        <v/>
      </c>
      <c r="J1904">
        <f>IF(C1904="","",J1903+$N$6*(C1904*$N$5-J1903))</f>
        <v/>
      </c>
      <c r="K1904">
        <f>IF(B1904="","",B1904-B1903)</f>
        <v/>
      </c>
    </row>
    <row r="1905">
      <c r="G1905">
        <f>IF(C1905="","",C1905*$N$5)</f>
        <v/>
      </c>
      <c r="H1905">
        <f>IF(C1905="","",AVERAGE(C1902:C1905)*$N$5)</f>
        <v/>
      </c>
      <c r="I1905">
        <f>IF(C1905="","",AVERAGE(C1890:C1905)*$N$5)</f>
        <v/>
      </c>
      <c r="J1905">
        <f>IF(C1905="","",J1904+$N$6*(C1905*$N$5-J1904))</f>
        <v/>
      </c>
      <c r="K1905">
        <f>IF(B1905="","",B1905-B1904)</f>
        <v/>
      </c>
    </row>
    <row r="1906">
      <c r="G1906">
        <f>IF(C1906="","",C1906*$N$5)</f>
        <v/>
      </c>
      <c r="H1906">
        <f>IF(C1906="","",AVERAGE(C1903:C1906)*$N$5)</f>
        <v/>
      </c>
      <c r="I1906">
        <f>IF(C1906="","",AVERAGE(C1891:C1906)*$N$5)</f>
        <v/>
      </c>
      <c r="J1906">
        <f>IF(C1906="","",J1905+$N$6*(C1906*$N$5-J1905))</f>
        <v/>
      </c>
      <c r="K1906">
        <f>IF(B1906="","",B1906-B1905)</f>
        <v/>
      </c>
    </row>
    <row r="1907">
      <c r="G1907">
        <f>IF(C1907="","",C1907*$N$5)</f>
        <v/>
      </c>
      <c r="H1907">
        <f>IF(C1907="","",AVERAGE(C1904:C1907)*$N$5)</f>
        <v/>
      </c>
      <c r="I1907">
        <f>IF(C1907="","",AVERAGE(C1892:C1907)*$N$5)</f>
        <v/>
      </c>
      <c r="J1907">
        <f>IF(C1907="","",J1906+$N$6*(C1907*$N$5-J1906))</f>
        <v/>
      </c>
      <c r="K1907">
        <f>IF(B1907="","",B1907-B1906)</f>
        <v/>
      </c>
    </row>
    <row r="1908">
      <c r="G1908">
        <f>IF(C1908="","",C1908*$N$5)</f>
        <v/>
      </c>
      <c r="H1908">
        <f>IF(C1908="","",AVERAGE(C1905:C1908)*$N$5)</f>
        <v/>
      </c>
      <c r="I1908">
        <f>IF(C1908="","",AVERAGE(C1893:C1908)*$N$5)</f>
        <v/>
      </c>
      <c r="J1908">
        <f>IF(C1908="","",J1907+$N$6*(C1908*$N$5-J1907))</f>
        <v/>
      </c>
      <c r="K1908">
        <f>IF(B1908="","",B1908-B1907)</f>
        <v/>
      </c>
    </row>
    <row r="1909">
      <c r="G1909">
        <f>IF(C1909="","",C1909*$N$5)</f>
        <v/>
      </c>
      <c r="H1909">
        <f>IF(C1909="","",AVERAGE(C1906:C1909)*$N$5)</f>
        <v/>
      </c>
      <c r="I1909">
        <f>IF(C1909="","",AVERAGE(C1894:C1909)*$N$5)</f>
        <v/>
      </c>
      <c r="J1909">
        <f>IF(C1909="","",J1908+$N$6*(C1909*$N$5-J1908))</f>
        <v/>
      </c>
      <c r="K1909">
        <f>IF(B1909="","",B1909-B1908)</f>
        <v/>
      </c>
    </row>
    <row r="1910">
      <c r="G1910">
        <f>IF(C1910="","",C1910*$N$5)</f>
        <v/>
      </c>
      <c r="H1910">
        <f>IF(C1910="","",AVERAGE(C1907:C1910)*$N$5)</f>
        <v/>
      </c>
      <c r="I1910">
        <f>IF(C1910="","",AVERAGE(C1895:C1910)*$N$5)</f>
        <v/>
      </c>
      <c r="J1910">
        <f>IF(C1910="","",J1909+$N$6*(C1910*$N$5-J1909))</f>
        <v/>
      </c>
      <c r="K1910">
        <f>IF(B1910="","",B1910-B1909)</f>
        <v/>
      </c>
    </row>
    <row r="1911">
      <c r="G1911">
        <f>IF(C1911="","",C1911*$N$5)</f>
        <v/>
      </c>
      <c r="H1911">
        <f>IF(C1911="","",AVERAGE(C1908:C1911)*$N$5)</f>
        <v/>
      </c>
      <c r="I1911">
        <f>IF(C1911="","",AVERAGE(C1896:C1911)*$N$5)</f>
        <v/>
      </c>
      <c r="J1911">
        <f>IF(C1911="","",J1910+$N$6*(C1911*$N$5-J1910))</f>
        <v/>
      </c>
      <c r="K1911">
        <f>IF(B1911="","",B1911-B1910)</f>
        <v/>
      </c>
    </row>
    <row r="1912">
      <c r="G1912">
        <f>IF(C1912="","",C1912*$N$5)</f>
        <v/>
      </c>
      <c r="H1912">
        <f>IF(C1912="","",AVERAGE(C1909:C1912)*$N$5)</f>
        <v/>
      </c>
      <c r="I1912">
        <f>IF(C1912="","",AVERAGE(C1897:C1912)*$N$5)</f>
        <v/>
      </c>
      <c r="J1912">
        <f>IF(C1912="","",J1911+$N$6*(C1912*$N$5-J1911))</f>
        <v/>
      </c>
      <c r="K1912">
        <f>IF(B1912="","",B1912-B1911)</f>
        <v/>
      </c>
    </row>
    <row r="1913">
      <c r="G1913">
        <f>IF(C1913="","",C1913*$N$5)</f>
        <v/>
      </c>
      <c r="H1913">
        <f>IF(C1913="","",AVERAGE(C1910:C1913)*$N$5)</f>
        <v/>
      </c>
      <c r="I1913">
        <f>IF(C1913="","",AVERAGE(C1898:C1913)*$N$5)</f>
        <v/>
      </c>
      <c r="J1913">
        <f>IF(C1913="","",J1912+$N$6*(C1913*$N$5-J1912))</f>
        <v/>
      </c>
      <c r="K1913">
        <f>IF(B1913="","",B1913-B1912)</f>
        <v/>
      </c>
    </row>
    <row r="1914">
      <c r="G1914">
        <f>IF(C1914="","",C1914*$N$5)</f>
        <v/>
      </c>
      <c r="H1914">
        <f>IF(C1914="","",AVERAGE(C1911:C1914)*$N$5)</f>
        <v/>
      </c>
      <c r="I1914">
        <f>IF(C1914="","",AVERAGE(C1899:C1914)*$N$5)</f>
        <v/>
      </c>
      <c r="J1914">
        <f>IF(C1914="","",J1913+$N$6*(C1914*$N$5-J1913))</f>
        <v/>
      </c>
      <c r="K1914">
        <f>IF(B1914="","",B1914-B1913)</f>
        <v/>
      </c>
    </row>
    <row r="1915">
      <c r="G1915">
        <f>IF(C1915="","",C1915*$N$5)</f>
        <v/>
      </c>
      <c r="H1915">
        <f>IF(C1915="","",AVERAGE(C1912:C1915)*$N$5)</f>
        <v/>
      </c>
      <c r="I1915">
        <f>IF(C1915="","",AVERAGE(C1900:C1915)*$N$5)</f>
        <v/>
      </c>
      <c r="J1915">
        <f>IF(C1915="","",J1914+$N$6*(C1915*$N$5-J1914))</f>
        <v/>
      </c>
      <c r="K1915">
        <f>IF(B1915="","",B1915-B1914)</f>
        <v/>
      </c>
    </row>
    <row r="1916">
      <c r="G1916">
        <f>IF(C1916="","",C1916*$N$5)</f>
        <v/>
      </c>
      <c r="H1916">
        <f>IF(C1916="","",AVERAGE(C1913:C1916)*$N$5)</f>
        <v/>
      </c>
      <c r="I1916">
        <f>IF(C1916="","",AVERAGE(C1901:C1916)*$N$5)</f>
        <v/>
      </c>
      <c r="J1916">
        <f>IF(C1916="","",J1915+$N$6*(C1916*$N$5-J1915))</f>
        <v/>
      </c>
      <c r="K1916">
        <f>IF(B1916="","",B1916-B1915)</f>
        <v/>
      </c>
    </row>
    <row r="1917">
      <c r="G1917">
        <f>IF(C1917="","",C1917*$N$5)</f>
        <v/>
      </c>
      <c r="H1917">
        <f>IF(C1917="","",AVERAGE(C1914:C1917)*$N$5)</f>
        <v/>
      </c>
      <c r="I1917">
        <f>IF(C1917="","",AVERAGE(C1902:C1917)*$N$5)</f>
        <v/>
      </c>
      <c r="J1917">
        <f>IF(C1917="","",J1916+$N$6*(C1917*$N$5-J1916))</f>
        <v/>
      </c>
      <c r="K1917">
        <f>IF(B1917="","",B1917-B1916)</f>
        <v/>
      </c>
    </row>
    <row r="1918">
      <c r="G1918">
        <f>IF(C1918="","",C1918*$N$5)</f>
        <v/>
      </c>
      <c r="H1918">
        <f>IF(C1918="","",AVERAGE(C1915:C1918)*$N$5)</f>
        <v/>
      </c>
      <c r="I1918">
        <f>IF(C1918="","",AVERAGE(C1903:C1918)*$N$5)</f>
        <v/>
      </c>
      <c r="J1918">
        <f>IF(C1918="","",J1917+$N$6*(C1918*$N$5-J1917))</f>
        <v/>
      </c>
      <c r="K1918">
        <f>IF(B1918="","",B1918-B1917)</f>
        <v/>
      </c>
    </row>
    <row r="1919">
      <c r="G1919">
        <f>IF(C1919="","",C1919*$N$5)</f>
        <v/>
      </c>
      <c r="H1919">
        <f>IF(C1919="","",AVERAGE(C1916:C1919)*$N$5)</f>
        <v/>
      </c>
      <c r="I1919">
        <f>IF(C1919="","",AVERAGE(C1904:C1919)*$N$5)</f>
        <v/>
      </c>
      <c r="J1919">
        <f>IF(C1919="","",J1918+$N$6*(C1919*$N$5-J1918))</f>
        <v/>
      </c>
      <c r="K1919">
        <f>IF(B1919="","",B1919-B1918)</f>
        <v/>
      </c>
    </row>
    <row r="1920">
      <c r="G1920">
        <f>IF(C1920="","",C1920*$N$5)</f>
        <v/>
      </c>
      <c r="H1920">
        <f>IF(C1920="","",AVERAGE(C1917:C1920)*$N$5)</f>
        <v/>
      </c>
      <c r="I1920">
        <f>IF(C1920="","",AVERAGE(C1905:C1920)*$N$5)</f>
        <v/>
      </c>
      <c r="J1920">
        <f>IF(C1920="","",J1919+$N$6*(C1920*$N$5-J1919))</f>
        <v/>
      </c>
      <c r="K1920">
        <f>IF(B1920="","",B1920-B1919)</f>
        <v/>
      </c>
    </row>
    <row r="1921">
      <c r="G1921">
        <f>IF(C1921="","",C1921*$N$5)</f>
        <v/>
      </c>
      <c r="H1921">
        <f>IF(C1921="","",AVERAGE(C1918:C1921)*$N$5)</f>
        <v/>
      </c>
      <c r="I1921">
        <f>IF(C1921="","",AVERAGE(C1906:C1921)*$N$5)</f>
        <v/>
      </c>
      <c r="J1921">
        <f>IF(C1921="","",J1920+$N$6*(C1921*$N$5-J1920))</f>
        <v/>
      </c>
      <c r="K1921">
        <f>IF(B1921="","",B1921-B1920)</f>
        <v/>
      </c>
    </row>
    <row r="1922">
      <c r="G1922">
        <f>IF(C1922="","",C1922*$N$5)</f>
        <v/>
      </c>
      <c r="H1922">
        <f>IF(C1922="","",AVERAGE(C1919:C1922)*$N$5)</f>
        <v/>
      </c>
      <c r="I1922">
        <f>IF(C1922="","",AVERAGE(C1907:C1922)*$N$5)</f>
        <v/>
      </c>
      <c r="J1922">
        <f>IF(C1922="","",J1921+$N$6*(C1922*$N$5-J1921))</f>
        <v/>
      </c>
      <c r="K1922">
        <f>IF(B1922="","",B1922-B1921)</f>
        <v/>
      </c>
    </row>
    <row r="1923">
      <c r="G1923">
        <f>IF(C1923="","",C1923*$N$5)</f>
        <v/>
      </c>
      <c r="H1923">
        <f>IF(C1923="","",AVERAGE(C1920:C1923)*$N$5)</f>
        <v/>
      </c>
      <c r="I1923">
        <f>IF(C1923="","",AVERAGE(C1908:C1923)*$N$5)</f>
        <v/>
      </c>
      <c r="J1923">
        <f>IF(C1923="","",J1922+$N$6*(C1923*$N$5-J1922))</f>
        <v/>
      </c>
      <c r="K1923">
        <f>IF(B1923="","",B1923-B1922)</f>
        <v/>
      </c>
    </row>
    <row r="1924">
      <c r="G1924">
        <f>IF(C1924="","",C1924*$N$5)</f>
        <v/>
      </c>
      <c r="H1924">
        <f>IF(C1924="","",AVERAGE(C1921:C1924)*$N$5)</f>
        <v/>
      </c>
      <c r="I1924">
        <f>IF(C1924="","",AVERAGE(C1909:C1924)*$N$5)</f>
        <v/>
      </c>
      <c r="J1924">
        <f>IF(C1924="","",J1923+$N$6*(C1924*$N$5-J1923))</f>
        <v/>
      </c>
      <c r="K1924">
        <f>IF(B1924="","",B1924-B1923)</f>
        <v/>
      </c>
    </row>
    <row r="1925">
      <c r="G1925">
        <f>IF(C1925="","",C1925*$N$5)</f>
        <v/>
      </c>
      <c r="H1925">
        <f>IF(C1925="","",AVERAGE(C1922:C1925)*$N$5)</f>
        <v/>
      </c>
      <c r="I1925">
        <f>IF(C1925="","",AVERAGE(C1910:C1925)*$N$5)</f>
        <v/>
      </c>
      <c r="J1925">
        <f>IF(C1925="","",J1924+$N$6*(C1925*$N$5-J1924))</f>
        <v/>
      </c>
      <c r="K1925">
        <f>IF(B1925="","",B1925-B1924)</f>
        <v/>
      </c>
    </row>
    <row r="1926">
      <c r="G1926">
        <f>IF(C1926="","",C1926*$N$5)</f>
        <v/>
      </c>
      <c r="H1926">
        <f>IF(C1926="","",AVERAGE(C1923:C1926)*$N$5)</f>
        <v/>
      </c>
      <c r="I1926">
        <f>IF(C1926="","",AVERAGE(C1911:C1926)*$N$5)</f>
        <v/>
      </c>
      <c r="J1926">
        <f>IF(C1926="","",J1925+$N$6*(C1926*$N$5-J1925))</f>
        <v/>
      </c>
      <c r="K1926">
        <f>IF(B1926="","",B1926-B1925)</f>
        <v/>
      </c>
    </row>
    <row r="1927">
      <c r="G1927">
        <f>IF(C1927="","",C1927*$N$5)</f>
        <v/>
      </c>
      <c r="H1927">
        <f>IF(C1927="","",AVERAGE(C1924:C1927)*$N$5)</f>
        <v/>
      </c>
      <c r="I1927">
        <f>IF(C1927="","",AVERAGE(C1912:C1927)*$N$5)</f>
        <v/>
      </c>
      <c r="J1927">
        <f>IF(C1927="","",J1926+$N$6*(C1927*$N$5-J1926))</f>
        <v/>
      </c>
      <c r="K1927">
        <f>IF(B1927="","",B1927-B1926)</f>
        <v/>
      </c>
    </row>
    <row r="1928">
      <c r="G1928">
        <f>IF(C1928="","",C1928*$N$5)</f>
        <v/>
      </c>
      <c r="H1928">
        <f>IF(C1928="","",AVERAGE(C1925:C1928)*$N$5)</f>
        <v/>
      </c>
      <c r="I1928">
        <f>IF(C1928="","",AVERAGE(C1913:C1928)*$N$5)</f>
        <v/>
      </c>
      <c r="J1928">
        <f>IF(C1928="","",J1927+$N$6*(C1928*$N$5-J1927))</f>
        <v/>
      </c>
      <c r="K1928">
        <f>IF(B1928="","",B1928-B1927)</f>
        <v/>
      </c>
    </row>
    <row r="1929">
      <c r="G1929">
        <f>IF(C1929="","",C1929*$N$5)</f>
        <v/>
      </c>
      <c r="H1929">
        <f>IF(C1929="","",AVERAGE(C1926:C1929)*$N$5)</f>
        <v/>
      </c>
      <c r="I1929">
        <f>IF(C1929="","",AVERAGE(C1914:C1929)*$N$5)</f>
        <v/>
      </c>
      <c r="J1929">
        <f>IF(C1929="","",J1928+$N$6*(C1929*$N$5-J1928))</f>
        <v/>
      </c>
      <c r="K1929">
        <f>IF(B1929="","",B1929-B1928)</f>
        <v/>
      </c>
    </row>
    <row r="1930">
      <c r="G1930">
        <f>IF(C1930="","",C1930*$N$5)</f>
        <v/>
      </c>
      <c r="H1930">
        <f>IF(C1930="","",AVERAGE(C1927:C1930)*$N$5)</f>
        <v/>
      </c>
      <c r="I1930">
        <f>IF(C1930="","",AVERAGE(C1915:C1930)*$N$5)</f>
        <v/>
      </c>
      <c r="J1930">
        <f>IF(C1930="","",J1929+$N$6*(C1930*$N$5-J1929))</f>
        <v/>
      </c>
      <c r="K1930">
        <f>IF(B1930="","",B1930-B1929)</f>
        <v/>
      </c>
    </row>
    <row r="1931">
      <c r="G1931">
        <f>IF(C1931="","",C1931*$N$5)</f>
        <v/>
      </c>
      <c r="H1931">
        <f>IF(C1931="","",AVERAGE(C1928:C1931)*$N$5)</f>
        <v/>
      </c>
      <c r="I1931">
        <f>IF(C1931="","",AVERAGE(C1916:C1931)*$N$5)</f>
        <v/>
      </c>
      <c r="J1931">
        <f>IF(C1931="","",J1930+$N$6*(C1931*$N$5-J1930))</f>
        <v/>
      </c>
      <c r="K1931">
        <f>IF(B1931="","",B1931-B1930)</f>
        <v/>
      </c>
    </row>
    <row r="1932">
      <c r="G1932">
        <f>IF(C1932="","",C1932*$N$5)</f>
        <v/>
      </c>
      <c r="H1932">
        <f>IF(C1932="","",AVERAGE(C1929:C1932)*$N$5)</f>
        <v/>
      </c>
      <c r="I1932">
        <f>IF(C1932="","",AVERAGE(C1917:C1932)*$N$5)</f>
        <v/>
      </c>
      <c r="J1932">
        <f>IF(C1932="","",J1931+$N$6*(C1932*$N$5-J1931))</f>
        <v/>
      </c>
      <c r="K1932">
        <f>IF(B1932="","",B1932-B1931)</f>
        <v/>
      </c>
    </row>
    <row r="1933">
      <c r="G1933">
        <f>IF(C1933="","",C1933*$N$5)</f>
        <v/>
      </c>
      <c r="H1933">
        <f>IF(C1933="","",AVERAGE(C1930:C1933)*$N$5)</f>
        <v/>
      </c>
      <c r="I1933">
        <f>IF(C1933="","",AVERAGE(C1918:C1933)*$N$5)</f>
        <v/>
      </c>
      <c r="J1933">
        <f>IF(C1933="","",J1932+$N$6*(C1933*$N$5-J1932))</f>
        <v/>
      </c>
      <c r="K1933">
        <f>IF(B1933="","",B1933-B1932)</f>
        <v/>
      </c>
    </row>
    <row r="1934">
      <c r="G1934">
        <f>IF(C1934="","",C1934*$N$5)</f>
        <v/>
      </c>
      <c r="H1934">
        <f>IF(C1934="","",AVERAGE(C1931:C1934)*$N$5)</f>
        <v/>
      </c>
      <c r="I1934">
        <f>IF(C1934="","",AVERAGE(C1919:C1934)*$N$5)</f>
        <v/>
      </c>
      <c r="J1934">
        <f>IF(C1934="","",J1933+$N$6*(C1934*$N$5-J1933))</f>
        <v/>
      </c>
      <c r="K1934">
        <f>IF(B1934="","",B1934-B1933)</f>
        <v/>
      </c>
    </row>
    <row r="1935">
      <c r="G1935">
        <f>IF(C1935="","",C1935*$N$5)</f>
        <v/>
      </c>
      <c r="H1935">
        <f>IF(C1935="","",AVERAGE(C1932:C1935)*$N$5)</f>
        <v/>
      </c>
      <c r="I1935">
        <f>IF(C1935="","",AVERAGE(C1920:C1935)*$N$5)</f>
        <v/>
      </c>
      <c r="J1935">
        <f>IF(C1935="","",J1934+$N$6*(C1935*$N$5-J1934))</f>
        <v/>
      </c>
      <c r="K1935">
        <f>IF(B1935="","",B1935-B1934)</f>
        <v/>
      </c>
    </row>
    <row r="1936">
      <c r="G1936">
        <f>IF(C1936="","",C1936*$N$5)</f>
        <v/>
      </c>
      <c r="H1936">
        <f>IF(C1936="","",AVERAGE(C1933:C1936)*$N$5)</f>
        <v/>
      </c>
      <c r="I1936">
        <f>IF(C1936="","",AVERAGE(C1921:C1936)*$N$5)</f>
        <v/>
      </c>
      <c r="J1936">
        <f>IF(C1936="","",J1935+$N$6*(C1936*$N$5-J1935))</f>
        <v/>
      </c>
      <c r="K1936">
        <f>IF(B1936="","",B1936-B1935)</f>
        <v/>
      </c>
    </row>
    <row r="1937">
      <c r="G1937">
        <f>IF(C1937="","",C1937*$N$5)</f>
        <v/>
      </c>
      <c r="H1937">
        <f>IF(C1937="","",AVERAGE(C1934:C1937)*$N$5)</f>
        <v/>
      </c>
      <c r="I1937">
        <f>IF(C1937="","",AVERAGE(C1922:C1937)*$N$5)</f>
        <v/>
      </c>
      <c r="J1937">
        <f>IF(C1937="","",J1936+$N$6*(C1937*$N$5-J1936))</f>
        <v/>
      </c>
      <c r="K1937">
        <f>IF(B1937="","",B1937-B1936)</f>
        <v/>
      </c>
    </row>
    <row r="1938">
      <c r="G1938">
        <f>IF(C1938="","",C1938*$N$5)</f>
        <v/>
      </c>
      <c r="H1938">
        <f>IF(C1938="","",AVERAGE(C1935:C1938)*$N$5)</f>
        <v/>
      </c>
      <c r="I1938">
        <f>IF(C1938="","",AVERAGE(C1923:C1938)*$N$5)</f>
        <v/>
      </c>
      <c r="J1938">
        <f>IF(C1938="","",J1937+$N$6*(C1938*$N$5-J1937))</f>
        <v/>
      </c>
      <c r="K1938">
        <f>IF(B1938="","",B1938-B1937)</f>
        <v/>
      </c>
    </row>
    <row r="1939">
      <c r="G1939">
        <f>IF(C1939="","",C1939*$N$5)</f>
        <v/>
      </c>
      <c r="H1939">
        <f>IF(C1939="","",AVERAGE(C1936:C1939)*$N$5)</f>
        <v/>
      </c>
      <c r="I1939">
        <f>IF(C1939="","",AVERAGE(C1924:C1939)*$N$5)</f>
        <v/>
      </c>
      <c r="J1939">
        <f>IF(C1939="","",J1938+$N$6*(C1939*$N$5-J1938))</f>
        <v/>
      </c>
      <c r="K1939">
        <f>IF(B1939="","",B1939-B1938)</f>
        <v/>
      </c>
    </row>
    <row r="1940">
      <c r="G1940">
        <f>IF(C1940="","",C1940*$N$5)</f>
        <v/>
      </c>
      <c r="H1940">
        <f>IF(C1940="","",AVERAGE(C1937:C1940)*$N$5)</f>
        <v/>
      </c>
      <c r="I1940">
        <f>IF(C1940="","",AVERAGE(C1925:C1940)*$N$5)</f>
        <v/>
      </c>
      <c r="J1940">
        <f>IF(C1940="","",J1939+$N$6*(C1940*$N$5-J1939))</f>
        <v/>
      </c>
      <c r="K1940">
        <f>IF(B1940="","",B1940-B1939)</f>
        <v/>
      </c>
    </row>
    <row r="1941">
      <c r="G1941">
        <f>IF(C1941="","",C1941*$N$5)</f>
        <v/>
      </c>
      <c r="H1941">
        <f>IF(C1941="","",AVERAGE(C1938:C1941)*$N$5)</f>
        <v/>
      </c>
      <c r="I1941">
        <f>IF(C1941="","",AVERAGE(C1926:C1941)*$N$5)</f>
        <v/>
      </c>
      <c r="J1941">
        <f>IF(C1941="","",J1940+$N$6*(C1941*$N$5-J1940))</f>
        <v/>
      </c>
      <c r="K1941">
        <f>IF(B1941="","",B1941-B1940)</f>
        <v/>
      </c>
    </row>
    <row r="1942">
      <c r="G1942">
        <f>IF(C1942="","",C1942*$N$5)</f>
        <v/>
      </c>
      <c r="H1942">
        <f>IF(C1942="","",AVERAGE(C1939:C1942)*$N$5)</f>
        <v/>
      </c>
      <c r="I1942">
        <f>IF(C1942="","",AVERAGE(C1927:C1942)*$N$5)</f>
        <v/>
      </c>
      <c r="J1942">
        <f>IF(C1942="","",J1941+$N$6*(C1942*$N$5-J1941))</f>
        <v/>
      </c>
      <c r="K1942">
        <f>IF(B1942="","",B1942-B1941)</f>
        <v/>
      </c>
    </row>
    <row r="1943">
      <c r="G1943">
        <f>IF(C1943="","",C1943*$N$5)</f>
        <v/>
      </c>
      <c r="H1943">
        <f>IF(C1943="","",AVERAGE(C1940:C1943)*$N$5)</f>
        <v/>
      </c>
      <c r="I1943">
        <f>IF(C1943="","",AVERAGE(C1928:C1943)*$N$5)</f>
        <v/>
      </c>
      <c r="J1943">
        <f>IF(C1943="","",J1942+$N$6*(C1943*$N$5-J1942))</f>
        <v/>
      </c>
      <c r="K1943">
        <f>IF(B1943="","",B1943-B1942)</f>
        <v/>
      </c>
    </row>
    <row r="1944">
      <c r="G1944">
        <f>IF(C1944="","",C1944*$N$5)</f>
        <v/>
      </c>
      <c r="H1944">
        <f>IF(C1944="","",AVERAGE(C1941:C1944)*$N$5)</f>
        <v/>
      </c>
      <c r="I1944">
        <f>IF(C1944="","",AVERAGE(C1929:C1944)*$N$5)</f>
        <v/>
      </c>
      <c r="J1944">
        <f>IF(C1944="","",J1943+$N$6*(C1944*$N$5-J1943))</f>
        <v/>
      </c>
      <c r="K1944">
        <f>IF(B1944="","",B1944-B1943)</f>
        <v/>
      </c>
    </row>
    <row r="1945">
      <c r="G1945">
        <f>IF(C1945="","",C1945*$N$5)</f>
        <v/>
      </c>
      <c r="H1945">
        <f>IF(C1945="","",AVERAGE(C1942:C1945)*$N$5)</f>
        <v/>
      </c>
      <c r="I1945">
        <f>IF(C1945="","",AVERAGE(C1930:C1945)*$N$5)</f>
        <v/>
      </c>
      <c r="J1945">
        <f>IF(C1945="","",J1944+$N$6*(C1945*$N$5-J1944))</f>
        <v/>
      </c>
      <c r="K1945">
        <f>IF(B1945="","",B1945-B1944)</f>
        <v/>
      </c>
    </row>
    <row r="1946">
      <c r="G1946">
        <f>IF(C1946="","",C1946*$N$5)</f>
        <v/>
      </c>
      <c r="H1946">
        <f>IF(C1946="","",AVERAGE(C1943:C1946)*$N$5)</f>
        <v/>
      </c>
      <c r="I1946">
        <f>IF(C1946="","",AVERAGE(C1931:C1946)*$N$5)</f>
        <v/>
      </c>
      <c r="J1946">
        <f>IF(C1946="","",J1945+$N$6*(C1946*$N$5-J1945))</f>
        <v/>
      </c>
      <c r="K1946">
        <f>IF(B1946="","",B1946-B1945)</f>
        <v/>
      </c>
    </row>
    <row r="1947">
      <c r="G1947">
        <f>IF(C1947="","",C1947*$N$5)</f>
        <v/>
      </c>
      <c r="H1947">
        <f>IF(C1947="","",AVERAGE(C1944:C1947)*$N$5)</f>
        <v/>
      </c>
      <c r="I1947">
        <f>IF(C1947="","",AVERAGE(C1932:C1947)*$N$5)</f>
        <v/>
      </c>
      <c r="J1947">
        <f>IF(C1947="","",J1946+$N$6*(C1947*$N$5-J1946))</f>
        <v/>
      </c>
      <c r="K1947">
        <f>IF(B1947="","",B1947-B1946)</f>
        <v/>
      </c>
    </row>
    <row r="1948">
      <c r="G1948">
        <f>IF(C1948="","",C1948*$N$5)</f>
        <v/>
      </c>
      <c r="H1948">
        <f>IF(C1948="","",AVERAGE(C1945:C1948)*$N$5)</f>
        <v/>
      </c>
      <c r="I1948">
        <f>IF(C1948="","",AVERAGE(C1933:C1948)*$N$5)</f>
        <v/>
      </c>
      <c r="J1948">
        <f>IF(C1948="","",J1947+$N$6*(C1948*$N$5-J1947))</f>
        <v/>
      </c>
      <c r="K1948">
        <f>IF(B1948="","",B1948-B1947)</f>
        <v/>
      </c>
    </row>
    <row r="1949">
      <c r="G1949">
        <f>IF(C1949="","",C1949*$N$5)</f>
        <v/>
      </c>
      <c r="H1949">
        <f>IF(C1949="","",AVERAGE(C1946:C1949)*$N$5)</f>
        <v/>
      </c>
      <c r="I1949">
        <f>IF(C1949="","",AVERAGE(C1934:C1949)*$N$5)</f>
        <v/>
      </c>
      <c r="J1949">
        <f>IF(C1949="","",J1948+$N$6*(C1949*$N$5-J1948))</f>
        <v/>
      </c>
      <c r="K1949">
        <f>IF(B1949="","",B1949-B1948)</f>
        <v/>
      </c>
    </row>
    <row r="1950">
      <c r="G1950">
        <f>IF(C1950="","",C1950*$N$5)</f>
        <v/>
      </c>
      <c r="H1950">
        <f>IF(C1950="","",AVERAGE(C1947:C1950)*$N$5)</f>
        <v/>
      </c>
      <c r="I1950">
        <f>IF(C1950="","",AVERAGE(C1935:C1950)*$N$5)</f>
        <v/>
      </c>
      <c r="J1950">
        <f>IF(C1950="","",J1949+$N$6*(C1950*$N$5-J1949))</f>
        <v/>
      </c>
      <c r="K1950">
        <f>IF(B1950="","",B1950-B1949)</f>
        <v/>
      </c>
    </row>
    <row r="1951">
      <c r="G1951">
        <f>IF(C1951="","",C1951*$N$5)</f>
        <v/>
      </c>
      <c r="H1951">
        <f>IF(C1951="","",AVERAGE(C1948:C1951)*$N$5)</f>
        <v/>
      </c>
      <c r="I1951">
        <f>IF(C1951="","",AVERAGE(C1936:C1951)*$N$5)</f>
        <v/>
      </c>
      <c r="J1951">
        <f>IF(C1951="","",J1950+$N$6*(C1951*$N$5-J1950))</f>
        <v/>
      </c>
      <c r="K1951">
        <f>IF(B1951="","",B1951-B1950)</f>
        <v/>
      </c>
    </row>
    <row r="1952">
      <c r="G1952">
        <f>IF(C1952="","",C1952*$N$5)</f>
        <v/>
      </c>
      <c r="H1952">
        <f>IF(C1952="","",AVERAGE(C1949:C1952)*$N$5)</f>
        <v/>
      </c>
      <c r="I1952">
        <f>IF(C1952="","",AVERAGE(C1937:C1952)*$N$5)</f>
        <v/>
      </c>
      <c r="J1952">
        <f>IF(C1952="","",J1951+$N$6*(C1952*$N$5-J1951))</f>
        <v/>
      </c>
      <c r="K1952">
        <f>IF(B1952="","",B1952-B1951)</f>
        <v/>
      </c>
    </row>
    <row r="1953">
      <c r="G1953">
        <f>IF(C1953="","",C1953*$N$5)</f>
        <v/>
      </c>
      <c r="H1953">
        <f>IF(C1953="","",AVERAGE(C1950:C1953)*$N$5)</f>
        <v/>
      </c>
      <c r="I1953">
        <f>IF(C1953="","",AVERAGE(C1938:C1953)*$N$5)</f>
        <v/>
      </c>
      <c r="J1953">
        <f>IF(C1953="","",J1952+$N$6*(C1953*$N$5-J1952))</f>
        <v/>
      </c>
      <c r="K1953">
        <f>IF(B1953="","",B1953-B1952)</f>
        <v/>
      </c>
    </row>
    <row r="1954">
      <c r="G1954">
        <f>IF(C1954="","",C1954*$N$5)</f>
        <v/>
      </c>
      <c r="H1954">
        <f>IF(C1954="","",AVERAGE(C1951:C1954)*$N$5)</f>
        <v/>
      </c>
      <c r="I1954">
        <f>IF(C1954="","",AVERAGE(C1939:C1954)*$N$5)</f>
        <v/>
      </c>
      <c r="J1954">
        <f>IF(C1954="","",J1953+$N$6*(C1954*$N$5-J1953))</f>
        <v/>
      </c>
      <c r="K1954">
        <f>IF(B1954="","",B1954-B1953)</f>
        <v/>
      </c>
    </row>
    <row r="1955">
      <c r="G1955">
        <f>IF(C1955="","",C1955*$N$5)</f>
        <v/>
      </c>
      <c r="H1955">
        <f>IF(C1955="","",AVERAGE(C1952:C1955)*$N$5)</f>
        <v/>
      </c>
      <c r="I1955">
        <f>IF(C1955="","",AVERAGE(C1940:C1955)*$N$5)</f>
        <v/>
      </c>
      <c r="J1955">
        <f>IF(C1955="","",J1954+$N$6*(C1955*$N$5-J1954))</f>
        <v/>
      </c>
      <c r="K1955">
        <f>IF(B1955="","",B1955-B1954)</f>
        <v/>
      </c>
    </row>
    <row r="1956">
      <c r="G1956">
        <f>IF(C1956="","",C1956*$N$5)</f>
        <v/>
      </c>
      <c r="H1956">
        <f>IF(C1956="","",AVERAGE(C1953:C1956)*$N$5)</f>
        <v/>
      </c>
      <c r="I1956">
        <f>IF(C1956="","",AVERAGE(C1941:C1956)*$N$5)</f>
        <v/>
      </c>
      <c r="J1956">
        <f>IF(C1956="","",J1955+$N$6*(C1956*$N$5-J1955))</f>
        <v/>
      </c>
      <c r="K1956">
        <f>IF(B1956="","",B1956-B1955)</f>
        <v/>
      </c>
    </row>
    <row r="1957">
      <c r="G1957">
        <f>IF(C1957="","",C1957*$N$5)</f>
        <v/>
      </c>
      <c r="H1957">
        <f>IF(C1957="","",AVERAGE(C1954:C1957)*$N$5)</f>
        <v/>
      </c>
      <c r="I1957">
        <f>IF(C1957="","",AVERAGE(C1942:C1957)*$N$5)</f>
        <v/>
      </c>
      <c r="J1957">
        <f>IF(C1957="","",J1956+$N$6*(C1957*$N$5-J1956))</f>
        <v/>
      </c>
      <c r="K1957">
        <f>IF(B1957="","",B1957-B1956)</f>
        <v/>
      </c>
    </row>
    <row r="1958">
      <c r="G1958">
        <f>IF(C1958="","",C1958*$N$5)</f>
        <v/>
      </c>
      <c r="H1958">
        <f>IF(C1958="","",AVERAGE(C1955:C1958)*$N$5)</f>
        <v/>
      </c>
      <c r="I1958">
        <f>IF(C1958="","",AVERAGE(C1943:C1958)*$N$5)</f>
        <v/>
      </c>
      <c r="J1958">
        <f>IF(C1958="","",J1957+$N$6*(C1958*$N$5-J1957))</f>
        <v/>
      </c>
      <c r="K1958">
        <f>IF(B1958="","",B1958-B1957)</f>
        <v/>
      </c>
    </row>
    <row r="1959">
      <c r="G1959">
        <f>IF(C1959="","",C1959*$N$5)</f>
        <v/>
      </c>
      <c r="H1959">
        <f>IF(C1959="","",AVERAGE(C1956:C1959)*$N$5)</f>
        <v/>
      </c>
      <c r="I1959">
        <f>IF(C1959="","",AVERAGE(C1944:C1959)*$N$5)</f>
        <v/>
      </c>
      <c r="J1959">
        <f>IF(C1959="","",J1958+$N$6*(C1959*$N$5-J1958))</f>
        <v/>
      </c>
      <c r="K1959">
        <f>IF(B1959="","",B1959-B1958)</f>
        <v/>
      </c>
    </row>
    <row r="1960">
      <c r="G1960">
        <f>IF(C1960="","",C1960*$N$5)</f>
        <v/>
      </c>
      <c r="H1960">
        <f>IF(C1960="","",AVERAGE(C1957:C1960)*$N$5)</f>
        <v/>
      </c>
      <c r="I1960">
        <f>IF(C1960="","",AVERAGE(C1945:C1960)*$N$5)</f>
        <v/>
      </c>
      <c r="J1960">
        <f>IF(C1960="","",J1959+$N$6*(C1960*$N$5-J1959))</f>
        <v/>
      </c>
      <c r="K1960">
        <f>IF(B1960="","",B1960-B1959)</f>
        <v/>
      </c>
    </row>
    <row r="1961">
      <c r="G1961">
        <f>IF(C1961="","",C1961*$N$5)</f>
        <v/>
      </c>
      <c r="H1961">
        <f>IF(C1961="","",AVERAGE(C1958:C1961)*$N$5)</f>
        <v/>
      </c>
      <c r="I1961">
        <f>IF(C1961="","",AVERAGE(C1946:C1961)*$N$5)</f>
        <v/>
      </c>
      <c r="J1961">
        <f>IF(C1961="","",J1960+$N$6*(C1961*$N$5-J1960))</f>
        <v/>
      </c>
      <c r="K1961">
        <f>IF(B1961="","",B1961-B1960)</f>
        <v/>
      </c>
    </row>
    <row r="1962">
      <c r="G1962">
        <f>IF(C1962="","",C1962*$N$5)</f>
        <v/>
      </c>
      <c r="H1962">
        <f>IF(C1962="","",AVERAGE(C1959:C1962)*$N$5)</f>
        <v/>
      </c>
      <c r="I1962">
        <f>IF(C1962="","",AVERAGE(C1947:C1962)*$N$5)</f>
        <v/>
      </c>
      <c r="J1962">
        <f>IF(C1962="","",J1961+$N$6*(C1962*$N$5-J1961))</f>
        <v/>
      </c>
      <c r="K1962">
        <f>IF(B1962="","",B1962-B1961)</f>
        <v/>
      </c>
    </row>
    <row r="1963">
      <c r="G1963">
        <f>IF(C1963="","",C1963*$N$5)</f>
        <v/>
      </c>
      <c r="H1963">
        <f>IF(C1963="","",AVERAGE(C1960:C1963)*$N$5)</f>
        <v/>
      </c>
      <c r="I1963">
        <f>IF(C1963="","",AVERAGE(C1948:C1963)*$N$5)</f>
        <v/>
      </c>
      <c r="J1963">
        <f>IF(C1963="","",J1962+$N$6*(C1963*$N$5-J1962))</f>
        <v/>
      </c>
      <c r="K1963">
        <f>IF(B1963="","",B1963-B1962)</f>
        <v/>
      </c>
    </row>
    <row r="1964">
      <c r="G1964">
        <f>IF(C1964="","",C1964*$N$5)</f>
        <v/>
      </c>
      <c r="H1964">
        <f>IF(C1964="","",AVERAGE(C1961:C1964)*$N$5)</f>
        <v/>
      </c>
      <c r="I1964">
        <f>IF(C1964="","",AVERAGE(C1949:C1964)*$N$5)</f>
        <v/>
      </c>
      <c r="J1964">
        <f>IF(C1964="","",J1963+$N$6*(C1964*$N$5-J1963))</f>
        <v/>
      </c>
      <c r="K1964">
        <f>IF(B1964="","",B1964-B1963)</f>
        <v/>
      </c>
    </row>
    <row r="1965">
      <c r="G1965">
        <f>IF(C1965="","",C1965*$N$5)</f>
        <v/>
      </c>
      <c r="H1965">
        <f>IF(C1965="","",AVERAGE(C1962:C1965)*$N$5)</f>
        <v/>
      </c>
      <c r="I1965">
        <f>IF(C1965="","",AVERAGE(C1950:C1965)*$N$5)</f>
        <v/>
      </c>
      <c r="J1965">
        <f>IF(C1965="","",J1964+$N$6*(C1965*$N$5-J1964))</f>
        <v/>
      </c>
      <c r="K1965">
        <f>IF(B1965="","",B1965-B1964)</f>
        <v/>
      </c>
    </row>
    <row r="1966">
      <c r="G1966">
        <f>IF(C1966="","",C1966*$N$5)</f>
        <v/>
      </c>
      <c r="H1966">
        <f>IF(C1966="","",AVERAGE(C1963:C1966)*$N$5)</f>
        <v/>
      </c>
      <c r="I1966">
        <f>IF(C1966="","",AVERAGE(C1951:C1966)*$N$5)</f>
        <v/>
      </c>
      <c r="J1966">
        <f>IF(C1966="","",J1965+$N$6*(C1966*$N$5-J1965))</f>
        <v/>
      </c>
      <c r="K1966">
        <f>IF(B1966="","",B1966-B1965)</f>
        <v/>
      </c>
    </row>
    <row r="1967">
      <c r="G1967">
        <f>IF(C1967="","",C1967*$N$5)</f>
        <v/>
      </c>
      <c r="H1967">
        <f>IF(C1967="","",AVERAGE(C1964:C1967)*$N$5)</f>
        <v/>
      </c>
      <c r="I1967">
        <f>IF(C1967="","",AVERAGE(C1952:C1967)*$N$5)</f>
        <v/>
      </c>
      <c r="J1967">
        <f>IF(C1967="","",J1966+$N$6*(C1967*$N$5-J1966))</f>
        <v/>
      </c>
      <c r="K1967">
        <f>IF(B1967="","",B1967-B1966)</f>
        <v/>
      </c>
    </row>
    <row r="1968">
      <c r="G1968">
        <f>IF(C1968="","",C1968*$N$5)</f>
        <v/>
      </c>
      <c r="H1968">
        <f>IF(C1968="","",AVERAGE(C1965:C1968)*$N$5)</f>
        <v/>
      </c>
      <c r="I1968">
        <f>IF(C1968="","",AVERAGE(C1953:C1968)*$N$5)</f>
        <v/>
      </c>
      <c r="J1968">
        <f>IF(C1968="","",J1967+$N$6*(C1968*$N$5-J1967))</f>
        <v/>
      </c>
      <c r="K1968">
        <f>IF(B1968="","",B1968-B1967)</f>
        <v/>
      </c>
    </row>
    <row r="1969">
      <c r="G1969">
        <f>IF(C1969="","",C1969*$N$5)</f>
        <v/>
      </c>
      <c r="H1969">
        <f>IF(C1969="","",AVERAGE(C1966:C1969)*$N$5)</f>
        <v/>
      </c>
      <c r="I1969">
        <f>IF(C1969="","",AVERAGE(C1954:C1969)*$N$5)</f>
        <v/>
      </c>
      <c r="J1969">
        <f>IF(C1969="","",J1968+$N$6*(C1969*$N$5-J1968))</f>
        <v/>
      </c>
      <c r="K1969">
        <f>IF(B1969="","",B1969-B1968)</f>
        <v/>
      </c>
    </row>
    <row r="1970">
      <c r="G1970">
        <f>IF(C1970="","",C1970*$N$5)</f>
        <v/>
      </c>
      <c r="H1970">
        <f>IF(C1970="","",AVERAGE(C1967:C1970)*$N$5)</f>
        <v/>
      </c>
      <c r="I1970">
        <f>IF(C1970="","",AVERAGE(C1955:C1970)*$N$5)</f>
        <v/>
      </c>
      <c r="J1970">
        <f>IF(C1970="","",J1969+$N$6*(C1970*$N$5-J1969))</f>
        <v/>
      </c>
      <c r="K1970">
        <f>IF(B1970="","",B1970-B1969)</f>
        <v/>
      </c>
    </row>
    <row r="1971">
      <c r="G1971">
        <f>IF(C1971="","",C1971*$N$5)</f>
        <v/>
      </c>
      <c r="H1971">
        <f>IF(C1971="","",AVERAGE(C1968:C1971)*$N$5)</f>
        <v/>
      </c>
      <c r="I1971">
        <f>IF(C1971="","",AVERAGE(C1956:C1971)*$N$5)</f>
        <v/>
      </c>
      <c r="J1971">
        <f>IF(C1971="","",J1970+$N$6*(C1971*$N$5-J1970))</f>
        <v/>
      </c>
      <c r="K1971">
        <f>IF(B1971="","",B1971-B1970)</f>
        <v/>
      </c>
    </row>
    <row r="1972">
      <c r="G1972">
        <f>IF(C1972="","",C1972*$N$5)</f>
        <v/>
      </c>
      <c r="H1972">
        <f>IF(C1972="","",AVERAGE(C1969:C1972)*$N$5)</f>
        <v/>
      </c>
      <c r="I1972">
        <f>IF(C1972="","",AVERAGE(C1957:C1972)*$N$5)</f>
        <v/>
      </c>
      <c r="J1972">
        <f>IF(C1972="","",J1971+$N$6*(C1972*$N$5-J1971))</f>
        <v/>
      </c>
      <c r="K1972">
        <f>IF(B1972="","",B1972-B1971)</f>
        <v/>
      </c>
    </row>
    <row r="1973">
      <c r="G1973">
        <f>IF(C1973="","",C1973*$N$5)</f>
        <v/>
      </c>
      <c r="H1973">
        <f>IF(C1973="","",AVERAGE(C1970:C1973)*$N$5)</f>
        <v/>
      </c>
      <c r="I1973">
        <f>IF(C1973="","",AVERAGE(C1958:C1973)*$N$5)</f>
        <v/>
      </c>
      <c r="J1973">
        <f>IF(C1973="","",J1972+$N$6*(C1973*$N$5-J1972))</f>
        <v/>
      </c>
      <c r="K1973">
        <f>IF(B1973="","",B1973-B1972)</f>
        <v/>
      </c>
    </row>
    <row r="1974">
      <c r="G1974">
        <f>IF(C1974="","",C1974*$N$5)</f>
        <v/>
      </c>
      <c r="H1974">
        <f>IF(C1974="","",AVERAGE(C1971:C1974)*$N$5)</f>
        <v/>
      </c>
      <c r="I1974">
        <f>IF(C1974="","",AVERAGE(C1959:C1974)*$N$5)</f>
        <v/>
      </c>
      <c r="J1974">
        <f>IF(C1974="","",J1973+$N$6*(C1974*$N$5-J1973))</f>
        <v/>
      </c>
      <c r="K1974">
        <f>IF(B1974="","",B1974-B1973)</f>
        <v/>
      </c>
    </row>
    <row r="1975">
      <c r="G1975">
        <f>IF(C1975="","",C1975*$N$5)</f>
        <v/>
      </c>
      <c r="H1975">
        <f>IF(C1975="","",AVERAGE(C1972:C1975)*$N$5)</f>
        <v/>
      </c>
      <c r="I1975">
        <f>IF(C1975="","",AVERAGE(C1960:C1975)*$N$5)</f>
        <v/>
      </c>
      <c r="J1975">
        <f>IF(C1975="","",J1974+$N$6*(C1975*$N$5-J1974))</f>
        <v/>
      </c>
      <c r="K1975">
        <f>IF(B1975="","",B1975-B1974)</f>
        <v/>
      </c>
    </row>
    <row r="1976">
      <c r="G1976">
        <f>IF(C1976="","",C1976*$N$5)</f>
        <v/>
      </c>
      <c r="H1976">
        <f>IF(C1976="","",AVERAGE(C1973:C1976)*$N$5)</f>
        <v/>
      </c>
      <c r="I1976">
        <f>IF(C1976="","",AVERAGE(C1961:C1976)*$N$5)</f>
        <v/>
      </c>
      <c r="J1976">
        <f>IF(C1976="","",J1975+$N$6*(C1976*$N$5-J1975))</f>
        <v/>
      </c>
      <c r="K1976">
        <f>IF(B1976="","",B1976-B1975)</f>
        <v/>
      </c>
    </row>
    <row r="1977">
      <c r="G1977">
        <f>IF(C1977="","",C1977*$N$5)</f>
        <v/>
      </c>
      <c r="H1977">
        <f>IF(C1977="","",AVERAGE(C1974:C1977)*$N$5)</f>
        <v/>
      </c>
      <c r="I1977">
        <f>IF(C1977="","",AVERAGE(C1962:C1977)*$N$5)</f>
        <v/>
      </c>
      <c r="J1977">
        <f>IF(C1977="","",J1976+$N$6*(C1977*$N$5-J1976))</f>
        <v/>
      </c>
      <c r="K1977">
        <f>IF(B1977="","",B1977-B1976)</f>
        <v/>
      </c>
    </row>
    <row r="1978">
      <c r="G1978">
        <f>IF(C1978="","",C1978*$N$5)</f>
        <v/>
      </c>
      <c r="H1978">
        <f>IF(C1978="","",AVERAGE(C1975:C1978)*$N$5)</f>
        <v/>
      </c>
      <c r="I1978">
        <f>IF(C1978="","",AVERAGE(C1963:C1978)*$N$5)</f>
        <v/>
      </c>
      <c r="J1978">
        <f>IF(C1978="","",J1977+$N$6*(C1978*$N$5-J1977))</f>
        <v/>
      </c>
      <c r="K1978">
        <f>IF(B1978="","",B1978-B1977)</f>
        <v/>
      </c>
    </row>
    <row r="1979">
      <c r="G1979">
        <f>IF(C1979="","",C1979*$N$5)</f>
        <v/>
      </c>
      <c r="H1979">
        <f>IF(C1979="","",AVERAGE(C1976:C1979)*$N$5)</f>
        <v/>
      </c>
      <c r="I1979">
        <f>IF(C1979="","",AVERAGE(C1964:C1979)*$N$5)</f>
        <v/>
      </c>
      <c r="J1979">
        <f>IF(C1979="","",J1978+$N$6*(C1979*$N$5-J1978))</f>
        <v/>
      </c>
      <c r="K1979">
        <f>IF(B1979="","",B1979-B1978)</f>
        <v/>
      </c>
    </row>
    <row r="1980">
      <c r="G1980">
        <f>IF(C1980="","",C1980*$N$5)</f>
        <v/>
      </c>
      <c r="H1980">
        <f>IF(C1980="","",AVERAGE(C1977:C1980)*$N$5)</f>
        <v/>
      </c>
      <c r="I1980">
        <f>IF(C1980="","",AVERAGE(C1965:C1980)*$N$5)</f>
        <v/>
      </c>
      <c r="J1980">
        <f>IF(C1980="","",J1979+$N$6*(C1980*$N$5-J1979))</f>
        <v/>
      </c>
      <c r="K1980">
        <f>IF(B1980="","",B1980-B1979)</f>
        <v/>
      </c>
    </row>
    <row r="1981">
      <c r="G1981">
        <f>IF(C1981="","",C1981*$N$5)</f>
        <v/>
      </c>
      <c r="H1981">
        <f>IF(C1981="","",AVERAGE(C1978:C1981)*$N$5)</f>
        <v/>
      </c>
      <c r="I1981">
        <f>IF(C1981="","",AVERAGE(C1966:C1981)*$N$5)</f>
        <v/>
      </c>
      <c r="J1981">
        <f>IF(C1981="","",J1980+$N$6*(C1981*$N$5-J1980))</f>
        <v/>
      </c>
      <c r="K1981">
        <f>IF(B1981="","",B1981-B1980)</f>
        <v/>
      </c>
    </row>
    <row r="1982">
      <c r="G1982">
        <f>IF(C1982="","",C1982*$N$5)</f>
        <v/>
      </c>
      <c r="H1982">
        <f>IF(C1982="","",AVERAGE(C1979:C1982)*$N$5)</f>
        <v/>
      </c>
      <c r="I1982">
        <f>IF(C1982="","",AVERAGE(C1967:C1982)*$N$5)</f>
        <v/>
      </c>
      <c r="J1982">
        <f>IF(C1982="","",J1981+$N$6*(C1982*$N$5-J1981))</f>
        <v/>
      </c>
      <c r="K1982">
        <f>IF(B1982="","",B1982-B1981)</f>
        <v/>
      </c>
    </row>
    <row r="1983">
      <c r="G1983">
        <f>IF(C1983="","",C1983*$N$5)</f>
        <v/>
      </c>
      <c r="H1983">
        <f>IF(C1983="","",AVERAGE(C1980:C1983)*$N$5)</f>
        <v/>
      </c>
      <c r="I1983">
        <f>IF(C1983="","",AVERAGE(C1968:C1983)*$N$5)</f>
        <v/>
      </c>
      <c r="J1983">
        <f>IF(C1983="","",J1982+$N$6*(C1983*$N$5-J1982))</f>
        <v/>
      </c>
      <c r="K1983">
        <f>IF(B1983="","",B1983-B1982)</f>
        <v/>
      </c>
    </row>
    <row r="1984">
      <c r="G1984">
        <f>IF(C1984="","",C1984*$N$5)</f>
        <v/>
      </c>
      <c r="H1984">
        <f>IF(C1984="","",AVERAGE(C1981:C1984)*$N$5)</f>
        <v/>
      </c>
      <c r="I1984">
        <f>IF(C1984="","",AVERAGE(C1969:C1984)*$N$5)</f>
        <v/>
      </c>
      <c r="J1984">
        <f>IF(C1984="","",J1983+$N$6*(C1984*$N$5-J1983))</f>
        <v/>
      </c>
      <c r="K1984">
        <f>IF(B1984="","",B1984-B1983)</f>
        <v/>
      </c>
    </row>
    <row r="1985">
      <c r="G1985">
        <f>IF(C1985="","",C1985*$N$5)</f>
        <v/>
      </c>
      <c r="H1985">
        <f>IF(C1985="","",AVERAGE(C1982:C1985)*$N$5)</f>
        <v/>
      </c>
      <c r="I1985">
        <f>IF(C1985="","",AVERAGE(C1970:C1985)*$N$5)</f>
        <v/>
      </c>
      <c r="J1985">
        <f>IF(C1985="","",J1984+$N$6*(C1985*$N$5-J1984))</f>
        <v/>
      </c>
      <c r="K1985">
        <f>IF(B1985="","",B1985-B1984)</f>
        <v/>
      </c>
    </row>
    <row r="1986">
      <c r="G1986">
        <f>IF(C1986="","",C1986*$N$5)</f>
        <v/>
      </c>
      <c r="H1986">
        <f>IF(C1986="","",AVERAGE(C1983:C1986)*$N$5)</f>
        <v/>
      </c>
      <c r="I1986">
        <f>IF(C1986="","",AVERAGE(C1971:C1986)*$N$5)</f>
        <v/>
      </c>
      <c r="J1986">
        <f>IF(C1986="","",J1985+$N$6*(C1986*$N$5-J1985))</f>
        <v/>
      </c>
      <c r="K1986">
        <f>IF(B1986="","",B1986-B1985)</f>
        <v/>
      </c>
    </row>
    <row r="1987">
      <c r="G1987">
        <f>IF(C1987="","",C1987*$N$5)</f>
        <v/>
      </c>
      <c r="H1987">
        <f>IF(C1987="","",AVERAGE(C1984:C1987)*$N$5)</f>
        <v/>
      </c>
      <c r="I1987">
        <f>IF(C1987="","",AVERAGE(C1972:C1987)*$N$5)</f>
        <v/>
      </c>
      <c r="J1987">
        <f>IF(C1987="","",J1986+$N$6*(C1987*$N$5-J1986))</f>
        <v/>
      </c>
      <c r="K1987">
        <f>IF(B1987="","",B1987-B1986)</f>
        <v/>
      </c>
    </row>
    <row r="1988">
      <c r="G1988">
        <f>IF(C1988="","",C1988*$N$5)</f>
        <v/>
      </c>
      <c r="H1988">
        <f>IF(C1988="","",AVERAGE(C1985:C1988)*$N$5)</f>
        <v/>
      </c>
      <c r="I1988">
        <f>IF(C1988="","",AVERAGE(C1973:C1988)*$N$5)</f>
        <v/>
      </c>
      <c r="J1988">
        <f>IF(C1988="","",J1987+$N$6*(C1988*$N$5-J1987))</f>
        <v/>
      </c>
      <c r="K1988">
        <f>IF(B1988="","",B1988-B1987)</f>
        <v/>
      </c>
    </row>
    <row r="1989">
      <c r="G1989">
        <f>IF(C1989="","",C1989*$N$5)</f>
        <v/>
      </c>
      <c r="H1989">
        <f>IF(C1989="","",AVERAGE(C1986:C1989)*$N$5)</f>
        <v/>
      </c>
      <c r="I1989">
        <f>IF(C1989="","",AVERAGE(C1974:C1989)*$N$5)</f>
        <v/>
      </c>
      <c r="J1989">
        <f>IF(C1989="","",J1988+$N$6*(C1989*$N$5-J1988))</f>
        <v/>
      </c>
      <c r="K1989">
        <f>IF(B1989="","",B1989-B1988)</f>
        <v/>
      </c>
    </row>
    <row r="1990">
      <c r="G1990">
        <f>IF(C1990="","",C1990*$N$5)</f>
        <v/>
      </c>
      <c r="H1990">
        <f>IF(C1990="","",AVERAGE(C1987:C1990)*$N$5)</f>
        <v/>
      </c>
      <c r="I1990">
        <f>IF(C1990="","",AVERAGE(C1975:C1990)*$N$5)</f>
        <v/>
      </c>
      <c r="J1990">
        <f>IF(C1990="","",J1989+$N$6*(C1990*$N$5-J1989))</f>
        <v/>
      </c>
      <c r="K1990">
        <f>IF(B1990="","",B1990-B1989)</f>
        <v/>
      </c>
    </row>
    <row r="1991">
      <c r="G1991">
        <f>IF(C1991="","",C1991*$N$5)</f>
        <v/>
      </c>
      <c r="H1991">
        <f>IF(C1991="","",AVERAGE(C1988:C1991)*$N$5)</f>
        <v/>
      </c>
      <c r="I1991">
        <f>IF(C1991="","",AVERAGE(C1976:C1991)*$N$5)</f>
        <v/>
      </c>
      <c r="J1991">
        <f>IF(C1991="","",J1990+$N$6*(C1991*$N$5-J1990))</f>
        <v/>
      </c>
      <c r="K1991">
        <f>IF(B1991="","",B1991-B1990)</f>
        <v/>
      </c>
    </row>
    <row r="1992">
      <c r="G1992">
        <f>IF(C1992="","",C1992*$N$5)</f>
        <v/>
      </c>
      <c r="H1992">
        <f>IF(C1992="","",AVERAGE(C1989:C1992)*$N$5)</f>
        <v/>
      </c>
      <c r="I1992">
        <f>IF(C1992="","",AVERAGE(C1977:C1992)*$N$5)</f>
        <v/>
      </c>
      <c r="J1992">
        <f>IF(C1992="","",J1991+$N$6*(C1992*$N$5-J1991))</f>
        <v/>
      </c>
      <c r="K1992">
        <f>IF(B1992="","",B1992-B1991)</f>
        <v/>
      </c>
    </row>
    <row r="1993">
      <c r="G1993">
        <f>IF(C1993="","",C1993*$N$5)</f>
        <v/>
      </c>
      <c r="H1993">
        <f>IF(C1993="","",AVERAGE(C1990:C1993)*$N$5)</f>
        <v/>
      </c>
      <c r="I1993">
        <f>IF(C1993="","",AVERAGE(C1978:C1993)*$N$5)</f>
        <v/>
      </c>
      <c r="J1993">
        <f>IF(C1993="","",J1992+$N$6*(C1993*$N$5-J1992))</f>
        <v/>
      </c>
      <c r="K1993">
        <f>IF(B1993="","",B1993-B1992)</f>
        <v/>
      </c>
    </row>
    <row r="1994">
      <c r="G1994">
        <f>IF(C1994="","",C1994*$N$5)</f>
        <v/>
      </c>
      <c r="H1994">
        <f>IF(C1994="","",AVERAGE(C1991:C1994)*$N$5)</f>
        <v/>
      </c>
      <c r="I1994">
        <f>IF(C1994="","",AVERAGE(C1979:C1994)*$N$5)</f>
        <v/>
      </c>
      <c r="J1994">
        <f>IF(C1994="","",J1993+$N$6*(C1994*$N$5-J1993))</f>
        <v/>
      </c>
      <c r="K1994">
        <f>IF(B1994="","",B1994-B1993)</f>
        <v/>
      </c>
    </row>
    <row r="1995">
      <c r="G1995">
        <f>IF(C1995="","",C1995*$N$5)</f>
        <v/>
      </c>
      <c r="H1995">
        <f>IF(C1995="","",AVERAGE(C1992:C1995)*$N$5)</f>
        <v/>
      </c>
      <c r="I1995">
        <f>IF(C1995="","",AVERAGE(C1980:C1995)*$N$5)</f>
        <v/>
      </c>
      <c r="J1995">
        <f>IF(C1995="","",J1994+$N$6*(C1995*$N$5-J1994))</f>
        <v/>
      </c>
      <c r="K1995">
        <f>IF(B1995="","",B1995-B1994)</f>
        <v/>
      </c>
    </row>
    <row r="1996">
      <c r="G1996">
        <f>IF(C1996="","",C1996*$N$5)</f>
        <v/>
      </c>
      <c r="H1996">
        <f>IF(C1996="","",AVERAGE(C1993:C1996)*$N$5)</f>
        <v/>
      </c>
      <c r="I1996">
        <f>IF(C1996="","",AVERAGE(C1981:C1996)*$N$5)</f>
        <v/>
      </c>
      <c r="J1996">
        <f>IF(C1996="","",J1995+$N$6*(C1996*$N$5-J1995))</f>
        <v/>
      </c>
      <c r="K1996">
        <f>IF(B1996="","",B1996-B1995)</f>
        <v/>
      </c>
    </row>
    <row r="1997">
      <c r="G1997">
        <f>IF(C1997="","",C1997*$N$5)</f>
        <v/>
      </c>
      <c r="H1997">
        <f>IF(C1997="","",AVERAGE(C1994:C1997)*$N$5)</f>
        <v/>
      </c>
      <c r="I1997">
        <f>IF(C1997="","",AVERAGE(C1982:C1997)*$N$5)</f>
        <v/>
      </c>
      <c r="J1997">
        <f>IF(C1997="","",J1996+$N$6*(C1997*$N$5-J1996))</f>
        <v/>
      </c>
      <c r="K1997">
        <f>IF(B1997="","",B1997-B1996)</f>
        <v/>
      </c>
    </row>
    <row r="1998">
      <c r="G1998">
        <f>IF(C1998="","",C1998*$N$5)</f>
        <v/>
      </c>
      <c r="H1998">
        <f>IF(C1998="","",AVERAGE(C1995:C1998)*$N$5)</f>
        <v/>
      </c>
      <c r="I1998">
        <f>IF(C1998="","",AVERAGE(C1983:C1998)*$N$5)</f>
        <v/>
      </c>
      <c r="J1998">
        <f>IF(C1998="","",J1997+$N$6*(C1998*$N$5-J1997))</f>
        <v/>
      </c>
      <c r="K1998">
        <f>IF(B1998="","",B1998-B1997)</f>
        <v/>
      </c>
    </row>
    <row r="1999">
      <c r="G1999">
        <f>IF(C1999="","",C1999*$N$5)</f>
        <v/>
      </c>
      <c r="H1999">
        <f>IF(C1999="","",AVERAGE(C1996:C1999)*$N$5)</f>
        <v/>
      </c>
      <c r="I1999">
        <f>IF(C1999="","",AVERAGE(C1984:C1999)*$N$5)</f>
        <v/>
      </c>
      <c r="J1999">
        <f>IF(C1999="","",J1998+$N$6*(C1999*$N$5-J1998))</f>
        <v/>
      </c>
      <c r="K1999">
        <f>IF(B1999="","",B1999-B1998)</f>
        <v/>
      </c>
    </row>
    <row r="2000">
      <c r="G2000">
        <f>IF(C2000="","",C2000*$N$5)</f>
        <v/>
      </c>
      <c r="H2000">
        <f>IF(C2000="","",AVERAGE(C1997:C2000)*$N$5)</f>
        <v/>
      </c>
      <c r="I2000">
        <f>IF(C2000="","",AVERAGE(C1985:C2000)*$N$5)</f>
        <v/>
      </c>
      <c r="J2000">
        <f>IF(C2000="","",J1999+$N$6*(C2000*$N$5-J1999))</f>
        <v/>
      </c>
      <c r="K2000">
        <f>IF(B2000="","",B2000-B1999)</f>
        <v/>
      </c>
    </row>
    <row r="2001">
      <c r="G2001">
        <f>IF(C2001="","",C2001*$N$5)</f>
        <v/>
      </c>
      <c r="H2001">
        <f>IF(C2001="","",AVERAGE(C1998:C2001)*$N$5)</f>
        <v/>
      </c>
      <c r="I2001">
        <f>IF(C2001="","",AVERAGE(C1986:C2001)*$N$5)</f>
        <v/>
      </c>
      <c r="J2001">
        <f>IF(C2001="","",J2000+$N$6*(C2001*$N$5-J2000))</f>
        <v/>
      </c>
      <c r="K2001">
        <f>IF(B2001="","",B2001-B2000)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34" customWidth="1" min="5" max="5"/>
  </cols>
  <sheetData>
    <row r="1">
      <c r="A1" s="5" t="inlineStr">
        <is>
          <t>STAGE 2 — noise, offset and effective bits</t>
        </is>
      </c>
    </row>
    <row r="2">
      <c r="B2" s="1" t="inlineStr">
        <is>
          <t>X</t>
        </is>
      </c>
      <c r="C2" s="1" t="inlineStr">
        <is>
          <t>Y</t>
        </is>
      </c>
      <c r="D2" s="1" t="inlineStr">
        <is>
          <t>Z</t>
        </is>
      </c>
    </row>
    <row r="3">
      <c r="A3" t="inlineStr">
        <is>
          <t>mean, codes</t>
        </is>
      </c>
      <c r="B3">
        <f>AVERAGE(capture!C2:C2001)</f>
        <v/>
      </c>
      <c r="C3">
        <f>AVERAGE(capture!D2:D2001)</f>
        <v/>
      </c>
      <c r="D3">
        <f>AVERAGE(capture!E2:E2001)</f>
        <v/>
      </c>
    </row>
    <row r="4">
      <c r="A4" t="inlineStr">
        <is>
          <t>mean, mg</t>
        </is>
      </c>
      <c r="B4">
        <f>AVERAGE(capture!C2:C2001)*capture!$N$5</f>
        <v/>
      </c>
      <c r="C4">
        <f>AVERAGE(capture!D2:D2001)*capture!$N$5</f>
        <v/>
      </c>
      <c r="D4">
        <f>AVERAGE(capture!E2:E2001)*capture!$N$5</f>
        <v/>
      </c>
    </row>
    <row r="5">
      <c r="A5" t="inlineStr">
        <is>
          <t>sigma, codes (= sigma in LSB)</t>
        </is>
      </c>
      <c r="B5">
        <f>STDEVP(capture!C2:C2001)</f>
        <v/>
      </c>
      <c r="C5">
        <f>STDEVP(capture!D2:D2001)</f>
        <v/>
      </c>
      <c r="D5">
        <f>STDEVP(capture!E2:E2001)</f>
        <v/>
      </c>
    </row>
    <row r="6">
      <c r="A6" t="inlineStr">
        <is>
          <t>sigma, mg</t>
        </is>
      </c>
      <c r="B6">
        <f>STDEVP(capture!C2:C2001)*capture!$N$5</f>
        <v/>
      </c>
      <c r="C6">
        <f>STDEVP(capture!D2:D2001)*capture!$N$5</f>
        <v/>
      </c>
      <c r="D6">
        <f>STDEVP(capture!E2:E2001)*capture!$N$5</f>
        <v/>
      </c>
    </row>
    <row r="8">
      <c r="A8" t="inlineStr">
        <is>
          <t>samples in the capture</t>
        </is>
      </c>
      <c r="B8">
        <f>COUNT(capture!C2:C2001)</f>
        <v/>
      </c>
    </row>
    <row r="9">
      <c r="A9" t="inlineStr">
        <is>
          <t>mean vector magnitude, mg</t>
        </is>
      </c>
      <c r="B9">
        <f>SQRT(B4^2+C4^2+D4^2)</f>
        <v/>
      </c>
      <c r="E9" t="inlineStr">
        <is>
          <t>expect ~1000 mg with the board flat</t>
        </is>
      </c>
    </row>
    <row r="10">
      <c r="A10" t="inlineStr">
        <is>
          <t>zero-g offset X, mg</t>
        </is>
      </c>
      <c r="B10">
        <f>B4</f>
        <v/>
      </c>
      <c r="E10" t="inlineStr">
        <is>
          <t>datasheet +/-10 mg typ, +/-65 mg max</t>
        </is>
      </c>
    </row>
    <row r="11">
      <c r="A11" t="inlineStr">
        <is>
          <t>zero-g offset Y, mg</t>
        </is>
      </c>
      <c r="B11">
        <f>C4</f>
        <v/>
      </c>
    </row>
    <row r="12">
      <c r="A12" t="inlineStr">
        <is>
          <t>bits that are noise = LOG(sigma_LSB,2)</t>
        </is>
      </c>
      <c r="B12">
        <f>LOG(B5,2)</f>
        <v/>
      </c>
    </row>
    <row r="13">
      <c r="A13" t="inlineStr">
        <is>
          <t>EFFECTIVE BITS = 16 - the above</t>
        </is>
      </c>
      <c r="B13" s="3">
        <f>16-B12</f>
        <v/>
      </c>
      <c r="E13" t="inlineStr">
        <is>
          <t>say this number out loud</t>
        </is>
      </c>
    </row>
    <row r="15">
      <c r="A15" s="5" t="inlineStr">
        <is>
          <t>STAGE 3 — is sigma what the datasheet predicts?</t>
        </is>
      </c>
    </row>
    <row r="16">
      <c r="A16" t="inlineStr">
        <is>
          <t>bandwidth = ODR/2, Hz</t>
        </is>
      </c>
      <c r="B16">
        <f>capture!$N$3/2</f>
        <v/>
      </c>
    </row>
    <row r="17">
      <c r="A17" t="inlineStr">
        <is>
          <t>predicted sigma, typ 60 ug/rtHz, mg</t>
        </is>
      </c>
      <c r="B17">
        <f>60*SQRT(B16)/1000</f>
        <v/>
      </c>
    </row>
    <row r="18">
      <c r="A18" t="inlineStr">
        <is>
          <t>predicted sigma, max 100 ug/rtHz, mg</t>
        </is>
      </c>
      <c r="B18">
        <f>100*SQRT(B16)/1000</f>
        <v/>
      </c>
    </row>
    <row r="19">
      <c r="A19" t="inlineStr">
        <is>
          <t>measured / predicted (max)</t>
        </is>
      </c>
      <c r="B19">
        <f>B6/B18</f>
        <v/>
      </c>
    </row>
    <row r="20">
      <c r="A20" t="inlineStr">
        <is>
          <t>YOUR PART's noise density, ug/rtHz</t>
        </is>
      </c>
      <c r="B20" s="3">
        <f>B6/SQRT(B16)*1000</f>
        <v/>
      </c>
      <c r="E20" t="inlineStr">
        <is>
          <t>carry this into your stage 3.4 answer</t>
        </is>
      </c>
    </row>
    <row r="22">
      <c r="A22" s="5" t="inlineStr">
        <is>
          <t>STAGE 4 — the rate you actually got</t>
        </is>
      </c>
    </row>
    <row r="23">
      <c r="A23" t="inlineStr">
        <is>
          <t>mean interval, ms</t>
        </is>
      </c>
      <c r="B23">
        <f>(INDEX(capture!B:B,COUNT(capture!C2:C2001)+1)-capture!B2)/(COUNT(capture!C2:C2001)-1)</f>
        <v/>
      </c>
    </row>
    <row r="24">
      <c r="A24" t="inlineStr">
        <is>
          <t>achieved rate, Hz</t>
        </is>
      </c>
      <c r="B24">
        <f>1000/B23</f>
        <v/>
      </c>
    </row>
    <row r="25">
      <c r="A25" t="inlineStr">
        <is>
          <t>ODR you set, Hz</t>
        </is>
      </c>
      <c r="B25">
        <f>capture!$N$3</f>
        <v/>
      </c>
    </row>
    <row r="26">
      <c r="A26" t="inlineStr">
        <is>
          <t>error, %</t>
        </is>
      </c>
      <c r="B26">
        <f>(B24-B25)/B25*100</f>
        <v/>
      </c>
    </row>
    <row r="27">
      <c r="A27" t="inlineStr">
        <is>
          <t>capture duration, s</t>
        </is>
      </c>
      <c r="B27">
        <f>B23*(B8-1)/1000</f>
        <v/>
      </c>
    </row>
    <row r="28">
      <c r="A28" t="inlineStr">
        <is>
          <t>duration if spacing were 1/ODR, s</t>
        </is>
      </c>
      <c r="B28">
        <f>B8/B25</f>
        <v/>
      </c>
    </row>
    <row r="29">
      <c r="A29" t="inlineStr">
        <is>
          <t>TIMING ERROR AT THE END, s</t>
        </is>
      </c>
      <c r="B29" s="3">
        <f>B27-B28</f>
        <v/>
      </c>
      <c r="E29" t="inlineStr">
        <is>
          <t>is this calibratable afterwards?</t>
        </is>
      </c>
    </row>
    <row r="31">
      <c r="A31" s="5" t="inlineStr">
        <is>
          <t>STAGE 5 — what filtering bought, and what it cost</t>
        </is>
      </c>
    </row>
    <row r="32">
      <c r="B32" s="1" t="inlineStr">
        <is>
          <t>sigma (mg)</t>
        </is>
      </c>
      <c r="C32" s="1" t="inlineStr">
        <is>
          <t>reduction</t>
        </is>
      </c>
      <c r="D32" s="1" t="inlineStr">
        <is>
          <t>predicted</t>
        </is>
      </c>
    </row>
    <row r="33">
      <c r="A33" t="inlineStr">
        <is>
          <t>raw</t>
        </is>
      </c>
      <c r="B33">
        <f>STDEVP(capture!G2:G2001)</f>
        <v/>
      </c>
    </row>
    <row r="34">
      <c r="A34" t="inlineStr">
        <is>
          <t>moving average N=4</t>
        </is>
      </c>
      <c r="B34">
        <f>STDEVP(capture!H5:H2001)</f>
        <v/>
      </c>
      <c r="C34">
        <f>$B$33/B34</f>
        <v/>
      </c>
      <c r="D34">
        <f>SQRT(4)</f>
        <v/>
      </c>
    </row>
    <row r="35">
      <c r="A35" t="inlineStr">
        <is>
          <t>moving average N=16</t>
        </is>
      </c>
      <c r="B35">
        <f>STDEVP(capture!I17:I2001)</f>
        <v/>
      </c>
      <c r="C35">
        <f>$B$33/B35</f>
        <v/>
      </c>
      <c r="D35">
        <f>SQRT(16)</f>
        <v/>
      </c>
    </row>
    <row r="36">
      <c r="A36" t="inlineStr">
        <is>
          <t>low-pass alpha</t>
        </is>
      </c>
      <c r="B36">
        <f>STDEVP(capture!J2:J2001)</f>
        <v/>
      </c>
      <c r="C36">
        <f>$B$33/B36</f>
        <v/>
      </c>
      <c r="D36">
        <f>SQRT((2-capture!$N$6)/capture!$N$6)</f>
        <v/>
      </c>
    </row>
    <row r="38">
      <c r="A38" t="inlineStr">
        <is>
          <t>bandwidth after MA N=4, Hz</t>
        </is>
      </c>
      <c r="B38">
        <f>B16/4</f>
        <v/>
      </c>
      <c r="E38" t="inlineStr">
        <is>
          <t>which native ODR has this bandwidth?</t>
        </is>
      </c>
    </row>
    <row r="39">
      <c r="A39" t="inlineStr">
        <is>
          <t>group delay of MA N=4, ms</t>
        </is>
      </c>
      <c r="B39">
        <f>1.5/capture!$N$3*1000</f>
        <v/>
      </c>
    </row>
    <row r="41">
      <c r="A41" s="5" t="inlineStr">
        <is>
          <t>THE COMPARISON THAT MATTERS — stage 5.3</t>
        </is>
      </c>
    </row>
    <row r="42">
      <c r="A42" t="inlineStr">
        <is>
          <t>sigma of THIS capture averaged by 4, mg</t>
        </is>
      </c>
      <c r="B42">
        <f>B34</f>
        <v/>
      </c>
    </row>
    <row r="43">
      <c r="A43" t="inlineStr">
        <is>
          <t>sigma you measured natively at that bandwidth</t>
        </is>
      </c>
      <c r="B43" s="3" t="n">
        <v>0</v>
      </c>
      <c r="E43" t="inlineStr">
        <is>
          <t>type it in from your stage 3 table</t>
        </is>
      </c>
    </row>
    <row r="44">
      <c r="A44" t="inlineStr">
        <is>
          <t>ratio</t>
        </is>
      </c>
      <c r="B44">
        <f>IF(B43=0,"fill in B43",B42/B43)</f>
        <v/>
      </c>
      <c r="E44" t="inlineStr">
        <is>
          <t>should be ~1.00 — and 5.3 asks you 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2026-09-10T18:22:40Z</dcterms:created>
  <dcterms:modified xmlns:dcterms="http://purl.org/dc/terms/" xmlns:xsi="http://www.w3.org/2001/XMLSchema-instance" xsi:type="dcterms:W3CDTF">2026-09-10T18:22:40Z</dcterms:modified>
</cp:coreProperties>
</file>